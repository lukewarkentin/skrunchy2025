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skrunchy2025\data-raw\"/>
    </mc:Choice>
  </mc:AlternateContent>
  <xr:revisionPtr revIDLastSave="0" documentId="13_ncr:1_{53ED5955-FA3E-40C7-81E7-C6EA309863FA}" xr6:coauthVersionLast="47" xr6:coauthVersionMax="47" xr10:uidLastSave="{00000000-0000-0000-0000-000000000000}"/>
  <bookViews>
    <workbookView xWindow="-28920" yWindow="-120" windowWidth="29040" windowHeight="15720" xr2:uid="{E0CDEE87-6CC2-4107-81B9-F1AD4EA649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1" l="1"/>
  <c r="L25" i="1"/>
  <c r="M27" i="1"/>
  <c r="M26" i="1"/>
  <c r="M25" i="1"/>
  <c r="E26" i="1"/>
  <c r="G27" i="1"/>
  <c r="L34" i="1" l="1"/>
  <c r="L33" i="1"/>
  <c r="M34" i="1"/>
  <c r="M33" i="1"/>
  <c r="G38" i="1" l="1"/>
  <c r="G39" i="1"/>
  <c r="G40" i="1"/>
  <c r="G48" i="1"/>
  <c r="E48" i="1" s="1"/>
  <c r="G42" i="1"/>
  <c r="E42" i="1" s="1"/>
  <c r="G46" i="1"/>
  <c r="E46" i="1"/>
  <c r="G43" i="1"/>
  <c r="G41" i="1"/>
  <c r="E43" i="1"/>
  <c r="G44" i="1"/>
  <c r="E44" i="1" s="1"/>
  <c r="G45" i="1"/>
  <c r="E45" i="1" s="1"/>
  <c r="G47" i="1"/>
  <c r="E47" i="1" s="1"/>
  <c r="K39" i="1"/>
  <c r="J39" i="1"/>
  <c r="M39" i="1" s="1"/>
  <c r="K38" i="1"/>
  <c r="J38" i="1"/>
  <c r="K37" i="1"/>
  <c r="J37" i="1"/>
  <c r="M37" i="1"/>
  <c r="K36" i="1"/>
  <c r="J36" i="1"/>
  <c r="K35" i="1"/>
  <c r="J35" i="1"/>
  <c r="L20" i="1"/>
  <c r="L30" i="1"/>
  <c r="L36" i="1"/>
  <c r="L35" i="1"/>
  <c r="G34" i="1"/>
  <c r="G33" i="1"/>
  <c r="L46" i="1"/>
  <c r="G36" i="1"/>
  <c r="G37" i="1"/>
  <c r="K47" i="1"/>
  <c r="J47" i="1"/>
  <c r="K46" i="1"/>
  <c r="J46" i="1"/>
  <c r="M46" i="1" s="1"/>
  <c r="L24" i="1"/>
  <c r="L27" i="1"/>
  <c r="M41" i="1"/>
  <c r="M42" i="1"/>
  <c r="K45" i="1"/>
  <c r="J45" i="1"/>
  <c r="M45" i="1" s="1"/>
  <c r="K44" i="1"/>
  <c r="J44" i="1"/>
  <c r="M44" i="1" s="1"/>
  <c r="K43" i="1"/>
  <c r="J43" i="1"/>
  <c r="M43" i="1" s="1"/>
  <c r="E25" i="1"/>
  <c r="G35" i="1"/>
  <c r="G32" i="1"/>
  <c r="L40" i="1"/>
  <c r="L38" i="1"/>
  <c r="L37" i="1"/>
  <c r="K40" i="1"/>
  <c r="J40" i="1"/>
  <c r="M40" i="1" s="1"/>
  <c r="K42" i="1"/>
  <c r="J42" i="1"/>
  <c r="L44" i="1"/>
  <c r="L45" i="1"/>
  <c r="L47" i="1"/>
  <c r="L48" i="1"/>
  <c r="L43" i="1"/>
  <c r="K48" i="1"/>
  <c r="J48" i="1"/>
  <c r="M48" i="1" s="1"/>
  <c r="L28" i="1"/>
  <c r="M36" i="1" l="1"/>
  <c r="M38" i="1"/>
  <c r="M47" i="1"/>
  <c r="L29" i="1"/>
  <c r="L31" i="1"/>
  <c r="L32" i="1"/>
  <c r="M35" i="1"/>
  <c r="F6" i="1"/>
  <c r="G6" i="1" s="1"/>
  <c r="G24" i="1"/>
  <c r="F18" i="1"/>
  <c r="L18" i="1" s="1"/>
  <c r="F12" i="1"/>
  <c r="L12" i="1" s="1"/>
  <c r="L21" i="1"/>
  <c r="M9" i="1"/>
  <c r="E34" i="1"/>
  <c r="M3" i="1"/>
  <c r="M4" i="1"/>
  <c r="M5" i="1"/>
  <c r="M6" i="1"/>
  <c r="M7" i="1"/>
  <c r="M8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8" i="1"/>
  <c r="M29" i="1"/>
  <c r="M30" i="1"/>
  <c r="M31" i="1"/>
  <c r="M32" i="1"/>
  <c r="M2" i="1"/>
  <c r="L22" i="1"/>
  <c r="L23" i="1"/>
  <c r="L39" i="1"/>
  <c r="L41" i="1"/>
  <c r="L42" i="1"/>
  <c r="D43" i="1"/>
  <c r="D42" i="1"/>
  <c r="E41" i="1"/>
  <c r="D41" i="1"/>
  <c r="E40" i="1"/>
  <c r="D40" i="1"/>
  <c r="E39" i="1"/>
  <c r="D39" i="1"/>
  <c r="D38" i="1"/>
  <c r="E37" i="1"/>
  <c r="D37" i="1"/>
  <c r="D36" i="1"/>
  <c r="D35" i="1"/>
  <c r="D34" i="1"/>
  <c r="D33" i="1"/>
  <c r="D32" i="1"/>
  <c r="G31" i="1"/>
  <c r="D31" i="1"/>
  <c r="E30" i="1"/>
  <c r="D30" i="1"/>
  <c r="G29" i="1"/>
  <c r="D29" i="1"/>
  <c r="G28" i="1"/>
  <c r="D28" i="1"/>
  <c r="D27" i="1"/>
  <c r="D26" i="1"/>
  <c r="D25" i="1"/>
  <c r="D24" i="1"/>
  <c r="G23" i="1"/>
  <c r="D23" i="1"/>
  <c r="G22" i="1"/>
  <c r="D22" i="1"/>
  <c r="G21" i="1"/>
  <c r="D21" i="1"/>
  <c r="G20" i="1"/>
  <c r="D20" i="1"/>
  <c r="F19" i="1"/>
  <c r="L19" i="1" s="1"/>
  <c r="D19" i="1"/>
  <c r="D18" i="1"/>
  <c r="F17" i="1"/>
  <c r="L17" i="1" s="1"/>
  <c r="D17" i="1"/>
  <c r="F16" i="1"/>
  <c r="L16" i="1" s="1"/>
  <c r="D16" i="1"/>
  <c r="F15" i="1"/>
  <c r="L15" i="1" s="1"/>
  <c r="D15" i="1"/>
  <c r="F14" i="1"/>
  <c r="L14" i="1" s="1"/>
  <c r="D14" i="1"/>
  <c r="F13" i="1"/>
  <c r="L13" i="1" s="1"/>
  <c r="D13" i="1"/>
  <c r="D12" i="1"/>
  <c r="F11" i="1"/>
  <c r="L11" i="1" s="1"/>
  <c r="D11" i="1"/>
  <c r="F10" i="1"/>
  <c r="G10" i="1" s="1"/>
  <c r="D10" i="1"/>
  <c r="F9" i="1"/>
  <c r="L9" i="1" s="1"/>
  <c r="D9" i="1"/>
  <c r="F8" i="1"/>
  <c r="L8" i="1" s="1"/>
  <c r="D8" i="1"/>
  <c r="F7" i="1"/>
  <c r="L7" i="1" s="1"/>
  <c r="D7" i="1"/>
  <c r="D6" i="1"/>
  <c r="F5" i="1"/>
  <c r="L5" i="1" s="1"/>
  <c r="D5" i="1"/>
  <c r="F4" i="1"/>
  <c r="L4" i="1" s="1"/>
  <c r="D4" i="1"/>
  <c r="F3" i="1"/>
  <c r="G3" i="1" s="1"/>
  <c r="D3" i="1"/>
  <c r="F2" i="1"/>
  <c r="G2" i="1" s="1"/>
  <c r="D2" i="1"/>
  <c r="G11" i="1" l="1"/>
  <c r="L10" i="1"/>
  <c r="L2" i="1"/>
  <c r="L3" i="1"/>
  <c r="L6" i="1"/>
  <c r="E38" i="1"/>
  <c r="G17" i="1"/>
  <c r="G15" i="1"/>
  <c r="G8" i="1"/>
  <c r="G12" i="1"/>
  <c r="G5" i="1"/>
  <c r="G13" i="1"/>
  <c r="G19" i="1"/>
  <c r="G14" i="1"/>
  <c r="E36" i="1"/>
  <c r="E35" i="1"/>
  <c r="G18" i="1"/>
  <c r="G9" i="1"/>
  <c r="G16" i="1"/>
  <c r="E33" i="1"/>
  <c r="G7" i="1"/>
  <c r="G4" i="1"/>
</calcChain>
</file>

<file path=xl/sharedStrings.xml><?xml version="1.0" encoding="utf-8"?>
<sst xmlns="http://schemas.openxmlformats.org/spreadsheetml/2006/main" count="183" uniqueCount="56">
  <si>
    <t>Year</t>
  </si>
  <si>
    <t>Tyee Catch large not corrected</t>
  </si>
  <si>
    <t>Tyee catch jacks not corrected</t>
  </si>
  <si>
    <t>Tyee catch Jacks + Large</t>
  </si>
  <si>
    <t>FW Sport catch Large + Jacks TOTAL Skeena</t>
  </si>
  <si>
    <t>FW Sport catch Large + Jacks BELOW Terrace</t>
  </si>
  <si>
    <t>FW Sport catch Large + Jacks ABOVE Terrace</t>
  </si>
  <si>
    <t>FW Sport catch Large below Terrace</t>
  </si>
  <si>
    <t>FW Sport catch Jacks below Terrace</t>
  </si>
  <si>
    <t>FW Sport releases Large below Terrace</t>
  </si>
  <si>
    <t>FW Sport releases Jacks below Terrace</t>
  </si>
  <si>
    <t>FN fw catch below Terrace</t>
  </si>
  <si>
    <t>FN fw catch above Terrace</t>
  </si>
  <si>
    <t>est. sport above Terrace = 20% of below Terrace</t>
  </si>
  <si>
    <t>Tyee test catch looks different than the catch in the terminal run file because it includes jacks</t>
  </si>
  <si>
    <t>1000 above / 2500 below from average 2010-2017 and old Elmer Fast data</t>
  </si>
  <si>
    <t>2007, 2012 flood or persistent high water years</t>
  </si>
  <si>
    <t>2011 high snow pack and low catches, flood early then avg flows</t>
  </si>
  <si>
    <t>NCBC terminal catch place holder was 7000 which is too large so used 2500 for lower Skeena which is ~ average of previous and post 10 year estimates.</t>
  </si>
  <si>
    <t>2001 &amp; 1996 higher than normal flows late</t>
  </si>
  <si>
    <t>Place holder of 1000</t>
  </si>
  <si>
    <t>2004 waters low</t>
  </si>
  <si>
    <t>2017 flood early but below normal flows after June 15</t>
  </si>
  <si>
    <t>Sport above Terrace essentially closed after 2018</t>
  </si>
  <si>
    <t>2001 &amp; 2004 large abundance and catch</t>
  </si>
  <si>
    <t>FW Sport catch below Terrace</t>
  </si>
  <si>
    <t>FW Sport releases below Terrace</t>
  </si>
  <si>
    <t>Total Skeena sport catch 1979 to 1996 separated into 2/3 catch below Terrace and 1/3 catch above Terrace (comment from E. Fast in 1989)</t>
  </si>
  <si>
    <t>Notes</t>
  </si>
  <si>
    <t>Winther et al. 2024</t>
  </si>
  <si>
    <t>LW: 2021-2024 are all place-holders (except for Tyee catch which is correct)</t>
  </si>
  <si>
    <t>LW: Double check rec catch above Terrace for 2002, 2003, 2007</t>
  </si>
  <si>
    <t>Creel survey?</t>
  </si>
  <si>
    <t>Below Terrace, LGL and Kitsumkalum</t>
  </si>
  <si>
    <t>Estimated sport above Terrace = 20% of below Terrace</t>
  </si>
  <si>
    <t>Data notes</t>
  </si>
  <si>
    <t xml:space="preserve">Robichaud et al. 2020, Tables 13, 15 </t>
  </si>
  <si>
    <t>Robichaud et al. 2018, Tables 15, 17</t>
  </si>
  <si>
    <t xml:space="preserve">Robichaud et al. 2021, Tables 13, 15 </t>
  </si>
  <si>
    <t>Robichaud et al. 2022, Tables 13, 15</t>
  </si>
  <si>
    <t>Robichaud et al. 2024, Tables 12, 14</t>
  </si>
  <si>
    <t>Robichaud et al. 2023, Tables 12, 14</t>
  </si>
  <si>
    <t>Robichaud et al. 2025, Tables 13, 15</t>
  </si>
  <si>
    <t>Robichaud et al. 2026, Tables 13. 15</t>
  </si>
  <si>
    <t xml:space="preserve"> FW Sport source details</t>
  </si>
  <si>
    <t>No creel survey in 2018</t>
  </si>
  <si>
    <t>Robichaud &amp; English 2012, Tables 11, 13</t>
  </si>
  <si>
    <t>Robichaud &amp; English 2011, Tables 13,15</t>
  </si>
  <si>
    <t>Robichaud et al. 2013, Tables 11, 13</t>
  </si>
  <si>
    <t xml:space="preserve">Robichaud et al. 2014, Tables 12, 14 </t>
  </si>
  <si>
    <t>Robichaud et al. 2015, Tables 12, 14</t>
  </si>
  <si>
    <t>Robichaud et al. 2016, Tables 12, 14</t>
  </si>
  <si>
    <t>English &amp; Rossi 2026</t>
  </si>
  <si>
    <t>AFS</t>
  </si>
  <si>
    <t>General source</t>
  </si>
  <si>
    <t>FN FSC data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</si>
</sst>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sz val="8"/>
      <color indexed="9"/>
      <name val="Courie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4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1" applyFont="1"/>
    <xf numFmtId="0" fontId="2" fillId="0" borderId="0" xfId="1" applyFont="1" applyAlignment="1">
      <alignment horizontal="right" wrapText="1"/>
    </xf>
    <xf numFmtId="0" fontId="2" fillId="0" borderId="0" xfId="1" applyFont="1" applyAlignment="1">
      <alignment wrapText="1"/>
    </xf>
    <xf numFmtId="0" fontId="2" fillId="0" borderId="0" xfId="1" applyFont="1" applyAlignment="1">
      <alignment horizontal="right"/>
    </xf>
    <xf numFmtId="1" fontId="2" fillId="0" borderId="0" xfId="1" applyNumberFormat="1" applyFont="1"/>
    <xf numFmtId="3" fontId="2" fillId="3" borderId="0" xfId="3" applyNumberFormat="1" applyFont="1" applyFill="1" applyAlignment="1">
      <alignment horizontal="right"/>
    </xf>
    <xf numFmtId="3" fontId="2" fillId="0" borderId="0" xfId="1" applyNumberFormat="1" applyFont="1"/>
    <xf numFmtId="164" fontId="2" fillId="0" borderId="0" xfId="1" applyNumberFormat="1" applyFont="1"/>
    <xf numFmtId="3" fontId="2" fillId="0" borderId="0" xfId="3" applyNumberFormat="1" applyFont="1" applyAlignment="1">
      <alignment horizontal="center"/>
    </xf>
    <xf numFmtId="3" fontId="2" fillId="4" borderId="0" xfId="3" applyNumberFormat="1" applyFont="1" applyFill="1"/>
    <xf numFmtId="3" fontId="2" fillId="0" borderId="0" xfId="3" applyNumberFormat="1" applyFont="1" applyAlignment="1">
      <alignment horizontal="right"/>
    </xf>
    <xf numFmtId="3" fontId="2" fillId="5" borderId="0" xfId="3" applyNumberFormat="1" applyFont="1" applyFill="1"/>
    <xf numFmtId="0" fontId="2" fillId="6" borderId="0" xfId="1" applyFont="1" applyFill="1"/>
    <xf numFmtId="3" fontId="2" fillId="7" borderId="0" xfId="3" applyNumberFormat="1" applyFont="1" applyFill="1" applyAlignment="1">
      <alignment horizontal="right"/>
    </xf>
    <xf numFmtId="0" fontId="2" fillId="7" borderId="0" xfId="1" applyFont="1" applyFill="1"/>
    <xf numFmtId="0" fontId="2" fillId="4" borderId="0" xfId="1" applyFont="1" applyFill="1"/>
    <xf numFmtId="0" fontId="2" fillId="5" borderId="0" xfId="1" applyFont="1" applyFill="1"/>
    <xf numFmtId="0" fontId="2" fillId="0" borderId="0" xfId="1" applyFont="1" applyFill="1" applyAlignment="1">
      <alignment horizontal="right" wrapText="1"/>
    </xf>
    <xf numFmtId="0" fontId="2" fillId="0" borderId="0" xfId="1" applyFont="1" applyFill="1"/>
    <xf numFmtId="0" fontId="3" fillId="0" borderId="0" xfId="1" applyFont="1" applyFill="1" applyAlignment="1">
      <alignment horizontal="right" wrapText="1"/>
    </xf>
    <xf numFmtId="0" fontId="2" fillId="0" borderId="0" xfId="1" applyFont="1" applyFill="1" applyAlignment="1">
      <alignment horizontal="right"/>
    </xf>
    <xf numFmtId="0" fontId="2" fillId="3" borderId="0" xfId="1" applyFont="1" applyFill="1"/>
    <xf numFmtId="3" fontId="2" fillId="0" borderId="0" xfId="1" applyNumberFormat="1" applyFont="1" applyFill="1"/>
    <xf numFmtId="0" fontId="2" fillId="2" borderId="1" xfId="2" applyFont="1" applyFill="1" applyBorder="1" applyAlignment="1">
      <alignment horizontal="right" wrapText="1"/>
    </xf>
    <xf numFmtId="0" fontId="2" fillId="2" borderId="0" xfId="1" applyFont="1" applyFill="1" applyAlignment="1">
      <alignment horizontal="right" wrapText="1"/>
    </xf>
    <xf numFmtId="0" fontId="5" fillId="2" borderId="0" xfId="0" applyFont="1" applyFill="1" applyAlignment="1">
      <alignment wrapText="1"/>
    </xf>
    <xf numFmtId="0" fontId="2" fillId="0" borderId="0" xfId="1" applyFont="1" applyAlignment="1"/>
    <xf numFmtId="0" fontId="2" fillId="8" borderId="0" xfId="1" applyFont="1" applyFill="1" applyAlignment="1">
      <alignment horizontal="right"/>
    </xf>
    <xf numFmtId="0" fontId="2" fillId="0" borderId="0" xfId="1" applyFont="1" applyFill="1" applyAlignment="1">
      <alignment wrapText="1"/>
    </xf>
    <xf numFmtId="3" fontId="2" fillId="0" borderId="0" xfId="1" applyNumberFormat="1" applyFont="1" applyAlignment="1">
      <alignment wrapText="1"/>
    </xf>
    <xf numFmtId="3" fontId="2" fillId="8" borderId="0" xfId="1" applyNumberFormat="1" applyFont="1" applyFill="1" applyAlignment="1">
      <alignment wrapText="1"/>
    </xf>
    <xf numFmtId="1" fontId="2" fillId="0" borderId="0" xfId="1" applyNumberFormat="1" applyFont="1" applyAlignment="1">
      <alignment wrapText="1"/>
    </xf>
    <xf numFmtId="3" fontId="2" fillId="0" borderId="0" xfId="1" applyNumberFormat="1" applyFont="1" applyFill="1" applyAlignment="1">
      <alignment wrapText="1"/>
    </xf>
    <xf numFmtId="2" fontId="2" fillId="0" borderId="0" xfId="1" applyNumberFormat="1" applyFont="1"/>
    <xf numFmtId="3" fontId="2" fillId="8" borderId="0" xfId="1" applyNumberFormat="1" applyFont="1" applyFill="1"/>
  </cellXfs>
  <cellStyles count="5">
    <cellStyle name="Normal" xfId="0" builtinId="0"/>
    <cellStyle name="Normal 2" xfId="1" xr:uid="{6A551D6F-55D0-423A-A22F-5C10FAA1EEC6}"/>
    <cellStyle name="Normal_Area 3&amp;4 terminal run history" xfId="3" xr:uid="{98B071EB-E037-4808-B139-2020F514F630}"/>
    <cellStyle name="Normal_Stock proportions by year corrected to sampling" xfId="2" xr:uid="{D429C7EC-1086-4D87-8B1B-1C59B215DA4C}"/>
    <cellStyle name="Percent 2" xfId="4" xr:uid="{2F3B73F8-E6F2-497C-B5BF-13A5CF7D8C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3952C-60AA-4AE7-A274-2D9A331D3C7B}">
  <dimension ref="A1:BK191"/>
  <sheetViews>
    <sheetView tabSelected="1" workbookViewId="0">
      <pane ySplit="1" topLeftCell="A41" activePane="bottomLeft" state="frozen"/>
      <selection pane="bottomLeft" activeCell="H30" sqref="H30"/>
    </sheetView>
  </sheetViews>
  <sheetFormatPr defaultColWidth="8.7109375" defaultRowHeight="12" x14ac:dyDescent="0.2"/>
  <cols>
    <col min="1" max="1" width="8.85546875" style="1" customWidth="1"/>
    <col min="2" max="3" width="8.7109375" style="1"/>
    <col min="4" max="4" width="7.140625" style="1" customWidth="1"/>
    <col min="5" max="12" width="8.7109375" style="1"/>
    <col min="13" max="13" width="8.42578125" style="19" customWidth="1"/>
    <col min="14" max="15" width="7.5703125" style="1" customWidth="1"/>
    <col min="16" max="16" width="24.5703125" style="1" customWidth="1"/>
    <col min="17" max="17" width="37.7109375" style="3" customWidth="1"/>
    <col min="18" max="18" width="32.5703125" style="1" customWidth="1"/>
    <col min="19" max="19" width="20.140625" style="1" customWidth="1"/>
    <col min="20" max="20" width="51.140625" style="1" customWidth="1"/>
    <col min="21" max="24" width="7.5703125" style="1" customWidth="1"/>
    <col min="25" max="26" width="8.85546875" style="1" customWidth="1"/>
    <col min="27" max="30" width="7.5703125" style="1" customWidth="1"/>
    <col min="31" max="31" width="8.140625" style="1" customWidth="1"/>
    <col min="32" max="45" width="8.7109375" style="1"/>
    <col min="46" max="46" width="5.42578125" style="1" bestFit="1" customWidth="1"/>
    <col min="47" max="47" width="8.7109375" style="1"/>
    <col min="48" max="48" width="5.42578125" style="1" bestFit="1" customWidth="1"/>
    <col min="49" max="49" width="8.7109375" style="1"/>
    <col min="50" max="50" width="5.42578125" style="1" bestFit="1" customWidth="1"/>
    <col min="51" max="51" width="8.7109375" style="1"/>
    <col min="52" max="52" width="5.42578125" style="1" bestFit="1" customWidth="1"/>
    <col min="53" max="53" width="8.7109375" style="1"/>
    <col min="54" max="55" width="4.85546875" style="1" bestFit="1" customWidth="1"/>
    <col min="56" max="56" width="5.85546875" style="1" bestFit="1" customWidth="1"/>
    <col min="57" max="57" width="7.5703125" style="1" bestFit="1" customWidth="1"/>
    <col min="58" max="59" width="8.7109375" style="1"/>
    <col min="60" max="60" width="4.85546875" style="1" bestFit="1" customWidth="1"/>
    <col min="61" max="61" width="3.85546875" style="1" bestFit="1" customWidth="1"/>
    <col min="62" max="62" width="7" style="1" bestFit="1" customWidth="1"/>
    <col min="63" max="63" width="7.5703125" style="1" bestFit="1" customWidth="1"/>
    <col min="64" max="16384" width="8.7109375" style="1"/>
  </cols>
  <sheetData>
    <row r="1" spans="1:63" s="4" customFormat="1" ht="72" x14ac:dyDescent="0.2">
      <c r="A1" s="24" t="s">
        <v>0</v>
      </c>
      <c r="B1" s="2" t="s">
        <v>1</v>
      </c>
      <c r="C1" s="2" t="s">
        <v>2</v>
      </c>
      <c r="D1" s="25" t="s">
        <v>3</v>
      </c>
      <c r="E1" s="2" t="s">
        <v>4</v>
      </c>
      <c r="F1" s="18" t="s">
        <v>5</v>
      </c>
      <c r="G1" s="25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6" t="s">
        <v>25</v>
      </c>
      <c r="M1" s="26" t="s">
        <v>26</v>
      </c>
      <c r="N1" s="25" t="s">
        <v>11</v>
      </c>
      <c r="O1" s="25" t="s">
        <v>12</v>
      </c>
      <c r="P1" s="2" t="s">
        <v>54</v>
      </c>
      <c r="Q1" s="2" t="s">
        <v>44</v>
      </c>
      <c r="R1" s="18" t="s">
        <v>32</v>
      </c>
      <c r="S1" s="18" t="s">
        <v>55</v>
      </c>
      <c r="T1" s="18" t="s">
        <v>35</v>
      </c>
      <c r="U1" s="18"/>
      <c r="V1" s="20"/>
      <c r="W1" s="18"/>
      <c r="X1" s="20"/>
      <c r="Y1" s="18"/>
      <c r="Z1" s="20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21"/>
      <c r="AU1" s="21"/>
      <c r="AV1" s="21"/>
      <c r="AW1" s="21"/>
      <c r="AX1" s="21"/>
      <c r="AY1" s="21"/>
      <c r="AZ1" s="21"/>
      <c r="BA1" s="21"/>
      <c r="BB1" s="21"/>
      <c r="BC1" s="19"/>
      <c r="BD1" s="19"/>
      <c r="BE1" s="19"/>
      <c r="BF1" s="1"/>
    </row>
    <row r="2" spans="1:63" ht="12.75" customHeight="1" x14ac:dyDescent="0.2">
      <c r="A2" s="1">
        <v>1979</v>
      </c>
      <c r="B2" s="1">
        <v>432</v>
      </c>
      <c r="C2" s="1">
        <v>93</v>
      </c>
      <c r="D2" s="1">
        <f t="shared" ref="D2:D43" si="0">SUM(B2:C2)</f>
        <v>525</v>
      </c>
      <c r="E2" s="6">
        <v>1410</v>
      </c>
      <c r="F2" s="6">
        <f t="shared" ref="F2:F19" si="1">ROUND((E2*2/3),0)</f>
        <v>940</v>
      </c>
      <c r="G2" s="6">
        <f t="shared" ref="G2:G23" si="2">E2-F2</f>
        <v>470</v>
      </c>
      <c r="H2" s="7"/>
      <c r="I2" s="7"/>
      <c r="J2" s="7"/>
      <c r="K2" s="7"/>
      <c r="L2" s="7">
        <f>SUM(F2,H2,I2)</f>
        <v>940</v>
      </c>
      <c r="M2" s="23">
        <f>SUM(J2,K2)</f>
        <v>0</v>
      </c>
      <c r="N2" s="7">
        <v>1343</v>
      </c>
      <c r="O2" s="7">
        <v>2500</v>
      </c>
      <c r="P2" s="7" t="s">
        <v>29</v>
      </c>
      <c r="Q2" s="29" t="s">
        <v>27</v>
      </c>
      <c r="R2" s="7"/>
      <c r="S2" s="7" t="s">
        <v>52</v>
      </c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F2" s="7"/>
      <c r="AG2" s="7"/>
      <c r="AH2" s="7"/>
      <c r="AI2" s="7"/>
      <c r="AJ2" s="7"/>
      <c r="AK2" s="7"/>
      <c r="AL2" s="9"/>
      <c r="AN2" s="7"/>
      <c r="AO2" s="7"/>
      <c r="AP2" s="7"/>
      <c r="AQ2" s="7"/>
      <c r="AR2" s="7"/>
      <c r="AS2" s="7"/>
      <c r="AU2" s="7"/>
      <c r="AW2" s="7"/>
      <c r="AY2" s="7"/>
      <c r="BA2" s="7"/>
      <c r="BF2" s="7"/>
    </row>
    <row r="3" spans="1:63" ht="12.75" customHeight="1" x14ac:dyDescent="0.2">
      <c r="A3" s="1">
        <v>1980</v>
      </c>
      <c r="B3" s="1">
        <v>283</v>
      </c>
      <c r="C3" s="1">
        <v>58</v>
      </c>
      <c r="D3" s="1">
        <f t="shared" si="0"/>
        <v>341</v>
      </c>
      <c r="E3" s="6">
        <v>3625</v>
      </c>
      <c r="F3" s="6">
        <f t="shared" si="1"/>
        <v>2417</v>
      </c>
      <c r="G3" s="6">
        <f t="shared" si="2"/>
        <v>1208</v>
      </c>
      <c r="L3" s="7">
        <f t="shared" ref="L3:L42" si="3">SUM(F3,H3,I3)</f>
        <v>2417</v>
      </c>
      <c r="M3" s="23">
        <f t="shared" ref="M3:M47" si="4">SUM(J3,K3)</f>
        <v>0</v>
      </c>
      <c r="N3" s="7">
        <v>2600</v>
      </c>
      <c r="O3" s="7">
        <v>6060</v>
      </c>
      <c r="P3" s="7" t="s">
        <v>29</v>
      </c>
      <c r="Q3" s="29" t="s">
        <v>27</v>
      </c>
      <c r="R3" s="5"/>
      <c r="S3" s="7" t="s">
        <v>52</v>
      </c>
      <c r="T3" s="5"/>
      <c r="U3" s="5"/>
      <c r="V3" s="7"/>
      <c r="W3" s="7"/>
      <c r="X3" s="7"/>
      <c r="Y3" s="7"/>
      <c r="Z3" s="7"/>
      <c r="AA3" s="8"/>
      <c r="AB3" s="8"/>
      <c r="AC3" s="8"/>
      <c r="AD3" s="8"/>
      <c r="AE3" s="8"/>
      <c r="AF3" s="7"/>
      <c r="AG3" s="7"/>
      <c r="AH3" s="7"/>
      <c r="AI3" s="7"/>
      <c r="AJ3" s="7"/>
      <c r="AK3" s="7"/>
      <c r="AL3" s="9"/>
      <c r="AN3" s="7"/>
      <c r="AO3" s="7"/>
      <c r="AP3" s="7"/>
      <c r="AQ3" s="7"/>
      <c r="AR3" s="7"/>
      <c r="AS3" s="7"/>
      <c r="AU3" s="7"/>
      <c r="AW3" s="7"/>
      <c r="AY3" s="7"/>
      <c r="BA3" s="7"/>
      <c r="BF3" s="7"/>
    </row>
    <row r="4" spans="1:63" ht="12.75" customHeight="1" x14ac:dyDescent="0.2">
      <c r="A4" s="1">
        <v>1981</v>
      </c>
      <c r="B4" s="1">
        <v>345</v>
      </c>
      <c r="C4" s="1">
        <v>76</v>
      </c>
      <c r="D4" s="1">
        <f t="shared" si="0"/>
        <v>421</v>
      </c>
      <c r="E4" s="6">
        <v>2210</v>
      </c>
      <c r="F4" s="6">
        <f t="shared" si="1"/>
        <v>1473</v>
      </c>
      <c r="G4" s="6">
        <f t="shared" si="2"/>
        <v>737</v>
      </c>
      <c r="L4" s="7">
        <f t="shared" si="3"/>
        <v>1473</v>
      </c>
      <c r="M4" s="23">
        <f t="shared" si="4"/>
        <v>0</v>
      </c>
      <c r="N4" s="7">
        <v>2280</v>
      </c>
      <c r="O4" s="7">
        <v>7621</v>
      </c>
      <c r="P4" s="7" t="s">
        <v>29</v>
      </c>
      <c r="Q4" s="29" t="s">
        <v>27</v>
      </c>
      <c r="R4" s="5"/>
      <c r="S4" s="7" t="s">
        <v>52</v>
      </c>
      <c r="T4" s="5"/>
      <c r="U4" s="5"/>
      <c r="V4" s="7"/>
      <c r="W4" s="7"/>
      <c r="X4" s="7"/>
      <c r="Y4" s="7"/>
      <c r="Z4" s="7"/>
      <c r="AA4" s="8"/>
      <c r="AB4" s="8"/>
      <c r="AC4" s="8"/>
      <c r="AD4" s="8"/>
      <c r="AE4" s="8"/>
      <c r="AF4" s="7"/>
      <c r="AG4" s="7"/>
      <c r="AH4" s="7"/>
      <c r="AI4" s="7"/>
      <c r="AJ4" s="7"/>
      <c r="AK4" s="7"/>
      <c r="AL4" s="9"/>
      <c r="AN4" s="7"/>
      <c r="AO4" s="7"/>
      <c r="AP4" s="7"/>
      <c r="AQ4" s="7"/>
      <c r="AR4" s="7"/>
      <c r="AS4" s="7"/>
      <c r="AU4" s="7"/>
      <c r="AW4" s="7"/>
      <c r="AY4" s="7"/>
      <c r="BA4" s="7"/>
      <c r="BF4" s="7"/>
    </row>
    <row r="5" spans="1:63" ht="12.75" customHeight="1" x14ac:dyDescent="0.2">
      <c r="A5" s="1">
        <v>1982</v>
      </c>
      <c r="B5" s="1">
        <v>243</v>
      </c>
      <c r="C5" s="1">
        <v>86</v>
      </c>
      <c r="D5" s="1">
        <f t="shared" si="0"/>
        <v>329</v>
      </c>
      <c r="E5" s="6">
        <v>2230</v>
      </c>
      <c r="F5" s="6">
        <f t="shared" si="1"/>
        <v>1487</v>
      </c>
      <c r="G5" s="6">
        <f t="shared" si="2"/>
        <v>743</v>
      </c>
      <c r="L5" s="7">
        <f t="shared" si="3"/>
        <v>1487</v>
      </c>
      <c r="M5" s="23">
        <f t="shared" si="4"/>
        <v>0</v>
      </c>
      <c r="N5" s="7">
        <v>2500</v>
      </c>
      <c r="O5" s="7">
        <v>9200</v>
      </c>
      <c r="P5" s="7" t="s">
        <v>29</v>
      </c>
      <c r="Q5" s="29" t="s">
        <v>27</v>
      </c>
      <c r="R5" s="5"/>
      <c r="S5" s="7" t="s">
        <v>52</v>
      </c>
      <c r="T5" s="5"/>
      <c r="U5" s="5"/>
      <c r="V5" s="7"/>
      <c r="W5" s="7"/>
      <c r="X5" s="7"/>
      <c r="Y5" s="7"/>
      <c r="Z5" s="7"/>
      <c r="AA5" s="8"/>
      <c r="AB5" s="8"/>
      <c r="AC5" s="8"/>
      <c r="AD5" s="8"/>
      <c r="AE5" s="8"/>
      <c r="AF5" s="7"/>
      <c r="AG5" s="7"/>
      <c r="AH5" s="7"/>
      <c r="AI5" s="7"/>
      <c r="AJ5" s="7"/>
      <c r="AK5" s="7"/>
      <c r="AL5" s="9"/>
      <c r="AN5" s="7"/>
      <c r="AO5" s="7"/>
      <c r="AP5" s="7"/>
      <c r="AQ5" s="7"/>
      <c r="AR5" s="7"/>
      <c r="AS5" s="7"/>
      <c r="AU5" s="7"/>
      <c r="AW5" s="7"/>
      <c r="AY5" s="7"/>
      <c r="BA5" s="7"/>
      <c r="BF5" s="7"/>
    </row>
    <row r="6" spans="1:63" ht="12.75" customHeight="1" x14ac:dyDescent="0.2">
      <c r="A6" s="1">
        <v>1983</v>
      </c>
      <c r="B6" s="1">
        <v>362</v>
      </c>
      <c r="C6" s="1">
        <v>91</v>
      </c>
      <c r="D6" s="1">
        <f t="shared" si="0"/>
        <v>453</v>
      </c>
      <c r="E6" s="6">
        <v>4366</v>
      </c>
      <c r="F6" s="6">
        <f>ROUND((E6*2/3),0)</f>
        <v>2911</v>
      </c>
      <c r="G6" s="6">
        <f t="shared" si="2"/>
        <v>1455</v>
      </c>
      <c r="L6" s="7">
        <f t="shared" si="3"/>
        <v>2911</v>
      </c>
      <c r="M6" s="23">
        <f t="shared" si="4"/>
        <v>0</v>
      </c>
      <c r="N6" s="7">
        <v>1976</v>
      </c>
      <c r="O6" s="7">
        <v>8300</v>
      </c>
      <c r="P6" s="7" t="s">
        <v>29</v>
      </c>
      <c r="Q6" s="29" t="s">
        <v>27</v>
      </c>
      <c r="R6" s="5"/>
      <c r="S6" s="7" t="s">
        <v>52</v>
      </c>
      <c r="T6" s="5"/>
      <c r="U6" s="5"/>
      <c r="V6" s="7"/>
      <c r="W6" s="7"/>
      <c r="X6" s="7"/>
      <c r="Y6" s="7"/>
      <c r="Z6" s="7"/>
      <c r="AA6" s="8"/>
      <c r="AB6" s="8"/>
      <c r="AC6" s="8"/>
      <c r="AD6" s="8"/>
      <c r="AE6" s="8"/>
      <c r="AF6" s="7"/>
      <c r="AG6" s="7"/>
      <c r="AH6" s="7"/>
      <c r="AI6" s="7"/>
      <c r="AJ6" s="7"/>
      <c r="AK6" s="7"/>
      <c r="AL6" s="9"/>
      <c r="AN6" s="7"/>
      <c r="AO6" s="7"/>
      <c r="AP6" s="7"/>
      <c r="AQ6" s="7"/>
      <c r="AR6" s="7"/>
      <c r="AS6" s="7"/>
      <c r="AU6" s="7"/>
      <c r="AW6" s="7"/>
      <c r="AY6" s="7"/>
      <c r="BA6" s="7"/>
      <c r="BF6" s="7"/>
      <c r="BK6" s="7"/>
    </row>
    <row r="7" spans="1:63" ht="12.75" customHeight="1" x14ac:dyDescent="0.2">
      <c r="A7" s="1">
        <v>1984</v>
      </c>
      <c r="B7" s="1">
        <v>587</v>
      </c>
      <c r="C7" s="1">
        <v>153</v>
      </c>
      <c r="D7" s="1">
        <f t="shared" si="0"/>
        <v>740</v>
      </c>
      <c r="E7" s="6">
        <v>2976</v>
      </c>
      <c r="F7" s="6">
        <f t="shared" si="1"/>
        <v>1984</v>
      </c>
      <c r="G7" s="6">
        <f t="shared" si="2"/>
        <v>992</v>
      </c>
      <c r="L7" s="7">
        <f>SUM(F7,H7,I7)</f>
        <v>1984</v>
      </c>
      <c r="M7" s="23">
        <f t="shared" si="4"/>
        <v>0</v>
      </c>
      <c r="N7" s="7">
        <v>1568</v>
      </c>
      <c r="O7" s="7">
        <v>7900</v>
      </c>
      <c r="P7" s="7" t="s">
        <v>29</v>
      </c>
      <c r="Q7" s="29" t="s">
        <v>27</v>
      </c>
      <c r="R7" s="5"/>
      <c r="S7" s="7" t="s">
        <v>52</v>
      </c>
      <c r="T7" s="5"/>
      <c r="U7" s="5"/>
      <c r="V7" s="7"/>
      <c r="W7" s="7"/>
      <c r="X7" s="7"/>
      <c r="Y7" s="7"/>
      <c r="Z7" s="7"/>
      <c r="AA7" s="8"/>
      <c r="AB7" s="8"/>
      <c r="AC7" s="8"/>
      <c r="AD7" s="8"/>
      <c r="AE7" s="8"/>
      <c r="AF7" s="7"/>
      <c r="AG7" s="7"/>
      <c r="AH7" s="7"/>
      <c r="AI7" s="7"/>
      <c r="AJ7" s="7"/>
      <c r="AK7" s="7"/>
      <c r="AL7" s="9"/>
      <c r="AN7" s="7"/>
      <c r="AO7" s="7"/>
      <c r="AP7" s="7"/>
      <c r="AQ7" s="7"/>
      <c r="AR7" s="7"/>
      <c r="AS7" s="7"/>
      <c r="AU7" s="7"/>
      <c r="AW7" s="7"/>
      <c r="AY7" s="7"/>
      <c r="BA7" s="7"/>
      <c r="BF7" s="7"/>
      <c r="BK7" s="7"/>
    </row>
    <row r="8" spans="1:63" ht="12.75" customHeight="1" x14ac:dyDescent="0.2">
      <c r="A8" s="1">
        <v>1985</v>
      </c>
      <c r="B8" s="1">
        <v>545</v>
      </c>
      <c r="C8" s="1">
        <v>112</v>
      </c>
      <c r="D8" s="1">
        <f t="shared" si="0"/>
        <v>657</v>
      </c>
      <c r="E8" s="6">
        <v>2025</v>
      </c>
      <c r="F8" s="6">
        <f t="shared" si="1"/>
        <v>1350</v>
      </c>
      <c r="G8" s="6">
        <f t="shared" si="2"/>
        <v>675</v>
      </c>
      <c r="L8" s="7">
        <f t="shared" si="3"/>
        <v>1350</v>
      </c>
      <c r="M8" s="23">
        <f t="shared" si="4"/>
        <v>0</v>
      </c>
      <c r="N8" s="7">
        <v>3130</v>
      </c>
      <c r="O8" s="7">
        <v>10300</v>
      </c>
      <c r="P8" s="7" t="s">
        <v>29</v>
      </c>
      <c r="Q8" s="29" t="s">
        <v>27</v>
      </c>
      <c r="R8" s="5"/>
      <c r="S8" s="7" t="s">
        <v>52</v>
      </c>
      <c r="T8" s="5"/>
      <c r="U8" s="5"/>
      <c r="V8" s="7"/>
      <c r="W8" s="7"/>
      <c r="X8" s="7"/>
      <c r="Y8" s="7"/>
      <c r="Z8" s="7"/>
      <c r="AA8" s="8"/>
      <c r="AB8" s="8"/>
      <c r="AC8" s="8"/>
      <c r="AD8" s="8"/>
      <c r="AE8" s="8"/>
      <c r="AF8" s="7"/>
      <c r="AG8" s="7"/>
      <c r="AH8" s="7"/>
      <c r="AI8" s="7"/>
      <c r="AJ8" s="7"/>
      <c r="AK8" s="7"/>
      <c r="AL8" s="9"/>
      <c r="AN8" s="7"/>
      <c r="AO8" s="7"/>
      <c r="AP8" s="7"/>
      <c r="AQ8" s="7"/>
      <c r="AR8" s="7"/>
      <c r="AS8" s="7"/>
      <c r="AU8" s="7"/>
      <c r="AW8" s="7"/>
      <c r="AY8" s="7"/>
      <c r="BA8" s="7"/>
      <c r="BF8" s="7"/>
      <c r="BK8" s="7"/>
    </row>
    <row r="9" spans="1:63" ht="12.75" customHeight="1" x14ac:dyDescent="0.2">
      <c r="A9" s="1">
        <v>1986</v>
      </c>
      <c r="B9" s="1">
        <v>752</v>
      </c>
      <c r="C9" s="1">
        <v>126</v>
      </c>
      <c r="D9" s="1">
        <f t="shared" si="0"/>
        <v>878</v>
      </c>
      <c r="E9" s="6">
        <v>3010</v>
      </c>
      <c r="F9" s="6">
        <f t="shared" si="1"/>
        <v>2007</v>
      </c>
      <c r="G9" s="6">
        <f t="shared" si="2"/>
        <v>1003</v>
      </c>
      <c r="L9" s="7">
        <f t="shared" si="3"/>
        <v>2007</v>
      </c>
      <c r="M9" s="23">
        <f>SUM(J9,K9)</f>
        <v>0</v>
      </c>
      <c r="N9" s="7">
        <v>6236</v>
      </c>
      <c r="O9" s="7">
        <v>10653</v>
      </c>
      <c r="P9" s="7" t="s">
        <v>29</v>
      </c>
      <c r="Q9" s="29" t="s">
        <v>27</v>
      </c>
      <c r="R9" s="5"/>
      <c r="S9" s="7" t="s">
        <v>52</v>
      </c>
      <c r="T9" s="5"/>
      <c r="U9" s="5"/>
      <c r="V9" s="7"/>
      <c r="W9" s="7"/>
      <c r="X9" s="7"/>
      <c r="Y9" s="7"/>
      <c r="Z9" s="7"/>
      <c r="AA9" s="8"/>
      <c r="AB9" s="8"/>
      <c r="AC9" s="8"/>
      <c r="AD9" s="8"/>
      <c r="AE9" s="8"/>
      <c r="AF9" s="7"/>
      <c r="AG9" s="7"/>
      <c r="AH9" s="7"/>
      <c r="AI9" s="7"/>
      <c r="AJ9" s="7"/>
      <c r="AK9" s="7"/>
      <c r="AL9" s="9"/>
      <c r="AN9" s="7"/>
      <c r="AO9" s="7"/>
      <c r="AP9" s="7"/>
      <c r="AQ9" s="7"/>
      <c r="AR9" s="7"/>
      <c r="AS9" s="7"/>
      <c r="AU9" s="7"/>
      <c r="AW9" s="7"/>
      <c r="AY9" s="7"/>
      <c r="BA9" s="7"/>
      <c r="BF9" s="7"/>
      <c r="BK9" s="7"/>
    </row>
    <row r="10" spans="1:63" ht="12.75" customHeight="1" x14ac:dyDescent="0.2">
      <c r="A10" s="1">
        <v>1987</v>
      </c>
      <c r="B10" s="1">
        <v>725</v>
      </c>
      <c r="C10" s="1">
        <v>138</v>
      </c>
      <c r="D10" s="1">
        <f t="shared" si="0"/>
        <v>863</v>
      </c>
      <c r="E10" s="6">
        <v>2525</v>
      </c>
      <c r="F10" s="6">
        <f t="shared" si="1"/>
        <v>1683</v>
      </c>
      <c r="G10" s="6">
        <f t="shared" si="2"/>
        <v>842</v>
      </c>
      <c r="L10" s="7">
        <f t="shared" si="3"/>
        <v>1683</v>
      </c>
      <c r="M10" s="23">
        <f t="shared" si="4"/>
        <v>0</v>
      </c>
      <c r="N10" s="7">
        <v>4318</v>
      </c>
      <c r="O10" s="7">
        <v>7900</v>
      </c>
      <c r="P10" s="7" t="s">
        <v>29</v>
      </c>
      <c r="Q10" s="29" t="s">
        <v>27</v>
      </c>
      <c r="R10" s="5"/>
      <c r="S10" s="7" t="s">
        <v>52</v>
      </c>
      <c r="T10" s="5"/>
      <c r="U10" s="5"/>
      <c r="V10" s="7"/>
      <c r="W10" s="7"/>
      <c r="X10" s="7"/>
      <c r="Y10" s="7"/>
      <c r="Z10" s="7"/>
      <c r="AA10" s="8"/>
      <c r="AB10" s="8"/>
      <c r="AC10" s="8"/>
      <c r="AD10" s="8"/>
      <c r="AE10" s="8"/>
      <c r="AF10" s="7"/>
      <c r="AG10" s="7"/>
      <c r="AH10" s="7"/>
      <c r="AI10" s="7"/>
      <c r="AJ10" s="7"/>
      <c r="AK10" s="7"/>
      <c r="AL10" s="9"/>
      <c r="AN10" s="7"/>
      <c r="AO10" s="7"/>
      <c r="AP10" s="7"/>
      <c r="AQ10" s="7"/>
      <c r="AR10" s="7"/>
      <c r="AS10" s="7"/>
      <c r="AU10" s="7"/>
      <c r="AW10" s="7"/>
      <c r="AY10" s="7"/>
      <c r="BA10" s="7"/>
      <c r="BF10" s="7"/>
      <c r="BK10" s="7"/>
    </row>
    <row r="11" spans="1:63" ht="12.75" customHeight="1" x14ac:dyDescent="0.2">
      <c r="A11" s="1">
        <v>1988</v>
      </c>
      <c r="B11" s="1">
        <v>740</v>
      </c>
      <c r="C11" s="1">
        <v>85</v>
      </c>
      <c r="D11" s="1">
        <f t="shared" si="0"/>
        <v>825</v>
      </c>
      <c r="E11" s="6">
        <v>3295</v>
      </c>
      <c r="F11" s="6">
        <f t="shared" si="1"/>
        <v>2197</v>
      </c>
      <c r="G11" s="6">
        <f>E11-F11</f>
        <v>1098</v>
      </c>
      <c r="L11" s="7">
        <f>SUM(F11,H11,I11)</f>
        <v>2197</v>
      </c>
      <c r="M11" s="23">
        <f t="shared" si="4"/>
        <v>0</v>
      </c>
      <c r="N11" s="7">
        <v>3745</v>
      </c>
      <c r="O11" s="7">
        <v>13700</v>
      </c>
      <c r="P11" s="7" t="s">
        <v>29</v>
      </c>
      <c r="Q11" s="29" t="s">
        <v>27</v>
      </c>
      <c r="R11" s="5"/>
      <c r="S11" s="7" t="s">
        <v>52</v>
      </c>
      <c r="T11" s="5"/>
      <c r="U11" s="5"/>
      <c r="V11" s="7"/>
      <c r="W11" s="7"/>
      <c r="X11" s="7"/>
      <c r="Y11" s="7"/>
      <c r="Z11" s="7"/>
      <c r="AA11" s="8"/>
      <c r="AB11" s="8"/>
      <c r="AC11" s="8"/>
      <c r="AD11" s="8"/>
      <c r="AE11" s="8"/>
      <c r="AF11" s="7"/>
      <c r="AG11" s="7"/>
      <c r="AH11" s="7"/>
      <c r="AI11" s="7"/>
      <c r="AJ11" s="7"/>
      <c r="AK11" s="7"/>
      <c r="AL11" s="9"/>
      <c r="AN11" s="7"/>
      <c r="AO11" s="7"/>
      <c r="AP11" s="7"/>
      <c r="AQ11" s="7"/>
      <c r="AR11" s="7"/>
      <c r="AS11" s="7"/>
      <c r="AU11" s="7"/>
      <c r="AW11" s="7"/>
      <c r="AY11" s="7"/>
      <c r="BA11" s="7"/>
      <c r="BF11" s="7"/>
      <c r="BK11" s="7"/>
    </row>
    <row r="12" spans="1:63" ht="12.75" customHeight="1" x14ac:dyDescent="0.2">
      <c r="A12" s="1">
        <v>1989</v>
      </c>
      <c r="B12" s="1">
        <v>653</v>
      </c>
      <c r="C12" s="1">
        <v>108</v>
      </c>
      <c r="D12" s="1">
        <f t="shared" si="0"/>
        <v>761</v>
      </c>
      <c r="E12" s="6">
        <v>4521</v>
      </c>
      <c r="F12" s="6">
        <f>ROUND((E12*2/3),0)</f>
        <v>3014</v>
      </c>
      <c r="G12" s="6">
        <f t="shared" si="2"/>
        <v>1507</v>
      </c>
      <c r="L12" s="7">
        <f t="shared" si="3"/>
        <v>3014</v>
      </c>
      <c r="M12" s="23">
        <f t="shared" si="4"/>
        <v>0</v>
      </c>
      <c r="N12" s="7">
        <v>5414</v>
      </c>
      <c r="O12" s="7">
        <v>9400</v>
      </c>
      <c r="P12" s="7" t="s">
        <v>29</v>
      </c>
      <c r="Q12" s="29" t="s">
        <v>27</v>
      </c>
      <c r="R12" s="5"/>
      <c r="S12" s="7" t="s">
        <v>52</v>
      </c>
      <c r="T12" s="5"/>
      <c r="U12" s="5"/>
      <c r="V12" s="7"/>
      <c r="W12" s="7"/>
      <c r="X12" s="7"/>
      <c r="Y12" s="7"/>
      <c r="Z12" s="7"/>
      <c r="AA12" s="8"/>
      <c r="AB12" s="8"/>
      <c r="AC12" s="8"/>
      <c r="AD12" s="8"/>
      <c r="AE12" s="8"/>
      <c r="AF12" s="7"/>
      <c r="AG12" s="7"/>
      <c r="AH12" s="7"/>
      <c r="AI12" s="7"/>
      <c r="AJ12" s="7"/>
      <c r="AK12" s="7"/>
      <c r="AL12" s="9"/>
      <c r="AN12" s="7"/>
      <c r="AO12" s="7"/>
      <c r="AP12" s="7"/>
      <c r="AQ12" s="7"/>
      <c r="AR12" s="7"/>
      <c r="AS12" s="7"/>
      <c r="AU12" s="7"/>
      <c r="AW12" s="7"/>
      <c r="AY12" s="7"/>
      <c r="BA12" s="7"/>
      <c r="BF12" s="7"/>
      <c r="BK12" s="7"/>
    </row>
    <row r="13" spans="1:63" ht="12.75" customHeight="1" x14ac:dyDescent="0.2">
      <c r="A13" s="1">
        <v>1990</v>
      </c>
      <c r="B13" s="1">
        <v>651</v>
      </c>
      <c r="C13" s="1">
        <v>108</v>
      </c>
      <c r="D13" s="1">
        <f t="shared" si="0"/>
        <v>759</v>
      </c>
      <c r="E13" s="6">
        <v>3660</v>
      </c>
      <c r="F13" s="6">
        <f t="shared" si="1"/>
        <v>2440</v>
      </c>
      <c r="G13" s="6">
        <f t="shared" si="2"/>
        <v>1220</v>
      </c>
      <c r="L13" s="7">
        <f t="shared" si="3"/>
        <v>2440</v>
      </c>
      <c r="M13" s="23">
        <f t="shared" si="4"/>
        <v>0</v>
      </c>
      <c r="N13" s="7">
        <v>5112</v>
      </c>
      <c r="O13" s="7">
        <v>17855</v>
      </c>
      <c r="P13" s="7" t="s">
        <v>29</v>
      </c>
      <c r="Q13" s="29" t="s">
        <v>27</v>
      </c>
      <c r="R13" s="5"/>
      <c r="S13" s="7" t="s">
        <v>52</v>
      </c>
      <c r="T13" s="5"/>
      <c r="U13" s="5"/>
      <c r="V13" s="7"/>
      <c r="W13" s="7"/>
      <c r="X13" s="7"/>
      <c r="Y13" s="7"/>
      <c r="Z13" s="7"/>
      <c r="AA13" s="8"/>
      <c r="AB13" s="8"/>
      <c r="AC13" s="8"/>
      <c r="AD13" s="8"/>
      <c r="AE13" s="8"/>
      <c r="AF13" s="7"/>
      <c r="AG13" s="7"/>
      <c r="AH13" s="7"/>
      <c r="AI13" s="7"/>
      <c r="AJ13" s="7"/>
      <c r="AK13" s="7"/>
      <c r="AL13" s="9"/>
      <c r="AN13" s="7"/>
      <c r="AO13" s="7"/>
      <c r="AP13" s="7"/>
      <c r="AQ13" s="7"/>
      <c r="AR13" s="7"/>
      <c r="AS13" s="7"/>
      <c r="AU13" s="7"/>
      <c r="AW13" s="7"/>
      <c r="AY13" s="7"/>
      <c r="BA13" s="7"/>
      <c r="BF13" s="7"/>
      <c r="BK13" s="7"/>
    </row>
    <row r="14" spans="1:63" ht="12.75" customHeight="1" x14ac:dyDescent="0.2">
      <c r="A14" s="1">
        <v>1991</v>
      </c>
      <c r="B14" s="1">
        <v>591</v>
      </c>
      <c r="C14" s="1">
        <v>36</v>
      </c>
      <c r="D14" s="1">
        <f t="shared" si="0"/>
        <v>627</v>
      </c>
      <c r="E14" s="6">
        <v>4440</v>
      </c>
      <c r="F14" s="6">
        <f t="shared" si="1"/>
        <v>2960</v>
      </c>
      <c r="G14" s="6">
        <f t="shared" si="2"/>
        <v>1480</v>
      </c>
      <c r="L14" s="7">
        <f t="shared" si="3"/>
        <v>2960</v>
      </c>
      <c r="M14" s="23">
        <f t="shared" si="4"/>
        <v>0</v>
      </c>
      <c r="N14" s="7">
        <v>3167</v>
      </c>
      <c r="O14" s="7">
        <v>11700</v>
      </c>
      <c r="P14" s="7" t="s">
        <v>29</v>
      </c>
      <c r="Q14" s="29" t="s">
        <v>27</v>
      </c>
      <c r="R14" s="5"/>
      <c r="S14" s="7" t="s">
        <v>52</v>
      </c>
      <c r="T14" s="5"/>
      <c r="U14" s="5"/>
      <c r="V14" s="7"/>
      <c r="W14" s="7"/>
      <c r="X14" s="7"/>
      <c r="Y14" s="7"/>
      <c r="Z14" s="7"/>
      <c r="AA14" s="8"/>
      <c r="AB14" s="8"/>
      <c r="AC14" s="8"/>
      <c r="AD14" s="8"/>
      <c r="AE14" s="8"/>
      <c r="AF14" s="7"/>
      <c r="AG14" s="7"/>
      <c r="AH14" s="7"/>
      <c r="AI14" s="7"/>
      <c r="AJ14" s="7"/>
      <c r="AK14" s="7"/>
      <c r="AL14" s="9"/>
      <c r="AN14" s="7"/>
      <c r="AO14" s="7"/>
      <c r="AP14" s="7"/>
      <c r="AQ14" s="7"/>
      <c r="AR14" s="7"/>
      <c r="AS14" s="7"/>
      <c r="AU14" s="7"/>
      <c r="AW14" s="7"/>
      <c r="AY14" s="7"/>
      <c r="BA14" s="7"/>
      <c r="BF14" s="7"/>
      <c r="BK14" s="7"/>
    </row>
    <row r="15" spans="1:63" ht="12.75" customHeight="1" x14ac:dyDescent="0.2">
      <c r="A15" s="1">
        <v>1992</v>
      </c>
      <c r="B15" s="1">
        <v>554</v>
      </c>
      <c r="C15" s="1">
        <v>11</v>
      </c>
      <c r="D15" s="1">
        <f t="shared" si="0"/>
        <v>565</v>
      </c>
      <c r="E15" s="6">
        <v>5030</v>
      </c>
      <c r="F15" s="6">
        <f t="shared" si="1"/>
        <v>3353</v>
      </c>
      <c r="G15" s="6">
        <f t="shared" si="2"/>
        <v>1677</v>
      </c>
      <c r="L15" s="7">
        <f t="shared" si="3"/>
        <v>3353</v>
      </c>
      <c r="M15" s="23">
        <f t="shared" si="4"/>
        <v>0</v>
      </c>
      <c r="N15" s="23">
        <v>3404.5</v>
      </c>
      <c r="O15" s="7">
        <v>11361</v>
      </c>
      <c r="P15" s="7" t="s">
        <v>29</v>
      </c>
      <c r="Q15" s="29" t="s">
        <v>27</v>
      </c>
      <c r="R15" s="5"/>
      <c r="S15" s="7" t="s">
        <v>52</v>
      </c>
      <c r="T15" s="5"/>
      <c r="U15" s="5"/>
      <c r="V15" s="7"/>
      <c r="W15" s="7"/>
      <c r="X15" s="7"/>
      <c r="Y15" s="7"/>
      <c r="Z15" s="7"/>
      <c r="AA15" s="8"/>
      <c r="AB15" s="8"/>
      <c r="AC15" s="8"/>
      <c r="AD15" s="8"/>
      <c r="AE15" s="8"/>
      <c r="AF15" s="7"/>
      <c r="AG15" s="7"/>
      <c r="AH15" s="7"/>
      <c r="AI15" s="7"/>
      <c r="AJ15" s="7"/>
      <c r="AK15" s="7"/>
      <c r="AL15" s="9"/>
      <c r="AN15" s="7"/>
      <c r="AO15" s="7"/>
      <c r="AP15" s="7"/>
      <c r="AQ15" s="7"/>
      <c r="AR15" s="7"/>
      <c r="AS15" s="7"/>
      <c r="AU15" s="7"/>
      <c r="AW15" s="7"/>
      <c r="AY15" s="7"/>
      <c r="BA15" s="7"/>
      <c r="BF15" s="7"/>
      <c r="BK15" s="7"/>
    </row>
    <row r="16" spans="1:63" ht="12.75" customHeight="1" x14ac:dyDescent="0.2">
      <c r="A16" s="1">
        <v>1993</v>
      </c>
      <c r="B16" s="1">
        <v>773</v>
      </c>
      <c r="C16" s="1">
        <v>22</v>
      </c>
      <c r="D16" s="1">
        <f t="shared" si="0"/>
        <v>795</v>
      </c>
      <c r="E16" s="6">
        <v>6832</v>
      </c>
      <c r="F16" s="6">
        <f t="shared" si="1"/>
        <v>4555</v>
      </c>
      <c r="G16" s="6">
        <f t="shared" si="2"/>
        <v>2277</v>
      </c>
      <c r="L16" s="7">
        <f t="shared" si="3"/>
        <v>4555</v>
      </c>
      <c r="M16" s="23">
        <f t="shared" si="4"/>
        <v>0</v>
      </c>
      <c r="N16" s="7">
        <v>3642</v>
      </c>
      <c r="O16" s="7">
        <v>8718</v>
      </c>
      <c r="P16" s="7" t="s">
        <v>29</v>
      </c>
      <c r="Q16" s="29" t="s">
        <v>27</v>
      </c>
      <c r="R16" s="5"/>
      <c r="S16" s="7" t="s">
        <v>52</v>
      </c>
      <c r="T16" s="5"/>
      <c r="U16" s="5"/>
      <c r="V16" s="7"/>
      <c r="W16" s="7"/>
      <c r="X16" s="7"/>
      <c r="Y16" s="7"/>
      <c r="Z16" s="7"/>
      <c r="AA16" s="8"/>
      <c r="AB16" s="8"/>
      <c r="AC16" s="8"/>
      <c r="AD16" s="8"/>
      <c r="AE16" s="8"/>
      <c r="AF16" s="7"/>
      <c r="AG16" s="7"/>
      <c r="AH16" s="7"/>
      <c r="AI16" s="7"/>
      <c r="AJ16" s="7"/>
      <c r="AK16" s="7"/>
      <c r="AL16" s="9"/>
      <c r="AN16" s="7"/>
      <c r="AO16" s="7"/>
      <c r="AP16" s="7"/>
      <c r="AQ16" s="7"/>
      <c r="AR16" s="7"/>
      <c r="AS16" s="7"/>
      <c r="AU16" s="7"/>
      <c r="AW16" s="7"/>
      <c r="AY16" s="7"/>
      <c r="BA16" s="7"/>
      <c r="BF16" s="7"/>
      <c r="BK16" s="7"/>
    </row>
    <row r="17" spans="1:63" ht="12.75" customHeight="1" x14ac:dyDescent="0.2">
      <c r="A17" s="1">
        <v>1994</v>
      </c>
      <c r="B17" s="1">
        <v>521</v>
      </c>
      <c r="C17" s="1">
        <v>18</v>
      </c>
      <c r="D17" s="1">
        <f t="shared" si="0"/>
        <v>539</v>
      </c>
      <c r="E17" s="6">
        <v>2200</v>
      </c>
      <c r="F17" s="6">
        <f t="shared" si="1"/>
        <v>1467</v>
      </c>
      <c r="G17" s="6">
        <f t="shared" si="2"/>
        <v>733</v>
      </c>
      <c r="L17" s="7">
        <f>SUM(F17,H17,I17)</f>
        <v>1467</v>
      </c>
      <c r="M17" s="23">
        <f t="shared" si="4"/>
        <v>0</v>
      </c>
      <c r="N17" s="7">
        <v>2482.7593418310471</v>
      </c>
      <c r="O17" s="7">
        <v>7647</v>
      </c>
      <c r="P17" s="7" t="s">
        <v>29</v>
      </c>
      <c r="Q17" s="29" t="s">
        <v>27</v>
      </c>
      <c r="R17" s="5"/>
      <c r="S17" s="7" t="s">
        <v>52</v>
      </c>
      <c r="T17" s="5"/>
      <c r="U17" s="5"/>
      <c r="V17" s="7"/>
      <c r="W17" s="7"/>
      <c r="X17" s="7"/>
      <c r="Y17" s="7"/>
      <c r="Z17" s="7"/>
      <c r="AA17" s="8"/>
      <c r="AB17" s="8"/>
      <c r="AC17" s="8"/>
      <c r="AD17" s="8"/>
      <c r="AE17" s="8"/>
      <c r="AF17" s="7"/>
      <c r="AG17" s="7"/>
      <c r="AH17" s="7"/>
      <c r="AI17" s="7"/>
      <c r="AJ17" s="7"/>
      <c r="AK17" s="7"/>
      <c r="AL17" s="9"/>
      <c r="AN17" s="7"/>
      <c r="AO17" s="7"/>
      <c r="AP17" s="7"/>
      <c r="AQ17" s="7"/>
      <c r="AR17" s="7"/>
      <c r="AS17" s="7"/>
      <c r="AU17" s="7"/>
      <c r="AW17" s="7"/>
      <c r="AY17" s="7"/>
      <c r="BA17" s="7"/>
      <c r="BF17" s="7"/>
      <c r="BK17" s="7"/>
    </row>
    <row r="18" spans="1:63" ht="12.75" customHeight="1" x14ac:dyDescent="0.2">
      <c r="A18" s="1">
        <v>1995</v>
      </c>
      <c r="B18" s="1">
        <v>331</v>
      </c>
      <c r="C18" s="1">
        <v>15</v>
      </c>
      <c r="D18" s="1">
        <f t="shared" si="0"/>
        <v>346</v>
      </c>
      <c r="E18" s="6">
        <v>2798</v>
      </c>
      <c r="F18" s="6">
        <f>ROUND((E18*2/3),0)</f>
        <v>1865</v>
      </c>
      <c r="G18" s="6">
        <f t="shared" si="2"/>
        <v>933</v>
      </c>
      <c r="L18" s="7">
        <f t="shared" si="3"/>
        <v>1865</v>
      </c>
      <c r="M18" s="23">
        <f t="shared" si="4"/>
        <v>0</v>
      </c>
      <c r="N18" s="7">
        <v>900.70270925216892</v>
      </c>
      <c r="O18" s="7">
        <v>5104</v>
      </c>
      <c r="P18" s="7" t="s">
        <v>29</v>
      </c>
      <c r="Q18" s="29" t="s">
        <v>27</v>
      </c>
      <c r="R18" s="5"/>
      <c r="S18" s="7" t="s">
        <v>52</v>
      </c>
      <c r="T18" s="5"/>
      <c r="U18" s="5"/>
      <c r="V18" s="7"/>
      <c r="W18" s="7"/>
      <c r="X18" s="7"/>
      <c r="Y18" s="7"/>
      <c r="Z18" s="7"/>
      <c r="AA18" s="8"/>
      <c r="AB18" s="8"/>
      <c r="AC18" s="8"/>
      <c r="AD18" s="8"/>
      <c r="AE18" s="8"/>
      <c r="AF18" s="7"/>
      <c r="AG18" s="7"/>
      <c r="AH18" s="7"/>
      <c r="AI18" s="7"/>
      <c r="AJ18" s="7"/>
      <c r="AK18" s="7"/>
      <c r="AL18" s="9"/>
      <c r="AN18" s="7"/>
      <c r="AO18" s="7"/>
      <c r="AP18" s="7"/>
      <c r="AQ18" s="7"/>
      <c r="AR18" s="7"/>
      <c r="AS18" s="7"/>
      <c r="AU18" s="7"/>
      <c r="AW18" s="7"/>
      <c r="AY18" s="7"/>
      <c r="BA18" s="7"/>
      <c r="BF18" s="7"/>
      <c r="BK18" s="7"/>
    </row>
    <row r="19" spans="1:63" ht="12.75" customHeight="1" x14ac:dyDescent="0.2">
      <c r="A19" s="1">
        <v>1996</v>
      </c>
      <c r="B19" s="1">
        <v>2178</v>
      </c>
      <c r="C19" s="1">
        <v>59</v>
      </c>
      <c r="D19" s="1">
        <f t="shared" si="0"/>
        <v>2237</v>
      </c>
      <c r="E19" s="6">
        <v>1250</v>
      </c>
      <c r="F19" s="6">
        <f t="shared" si="1"/>
        <v>833</v>
      </c>
      <c r="G19" s="6">
        <f t="shared" si="2"/>
        <v>417</v>
      </c>
      <c r="L19" s="7">
        <f t="shared" si="3"/>
        <v>833</v>
      </c>
      <c r="M19" s="23">
        <f t="shared" si="4"/>
        <v>0</v>
      </c>
      <c r="N19" s="7">
        <v>1024.4556050986284</v>
      </c>
      <c r="O19" s="7">
        <v>4318</v>
      </c>
      <c r="P19" s="7" t="s">
        <v>29</v>
      </c>
      <c r="Q19" s="29" t="s">
        <v>27</v>
      </c>
      <c r="R19" s="5"/>
      <c r="S19" s="7" t="s">
        <v>52</v>
      </c>
      <c r="T19" s="5"/>
      <c r="U19" s="5"/>
      <c r="V19" s="7"/>
      <c r="W19" s="7"/>
      <c r="X19" s="7"/>
      <c r="Y19" s="7"/>
      <c r="Z19" s="7"/>
      <c r="AA19" s="8"/>
      <c r="AB19" s="8"/>
      <c r="AC19" s="8"/>
      <c r="AD19" s="8"/>
      <c r="AE19" s="8"/>
      <c r="AF19" s="7"/>
      <c r="AG19" s="7"/>
      <c r="AH19" s="7"/>
      <c r="AI19" s="7"/>
      <c r="AJ19" s="7"/>
      <c r="AK19" s="7"/>
      <c r="AL19" s="9"/>
      <c r="AN19" s="7"/>
      <c r="AO19" s="7"/>
      <c r="AP19" s="7"/>
      <c r="AQ19" s="7"/>
      <c r="AR19" s="7"/>
      <c r="AS19" s="7"/>
      <c r="AU19" s="7"/>
      <c r="AW19" s="7"/>
      <c r="AY19" s="7"/>
      <c r="BA19" s="7"/>
      <c r="BF19" s="7"/>
      <c r="BK19" s="7"/>
    </row>
    <row r="20" spans="1:63" ht="12.75" customHeight="1" x14ac:dyDescent="0.2">
      <c r="A20" s="1">
        <v>1997</v>
      </c>
      <c r="B20" s="1">
        <v>1578</v>
      </c>
      <c r="C20" s="1">
        <v>59</v>
      </c>
      <c r="D20" s="1">
        <f t="shared" si="0"/>
        <v>1637</v>
      </c>
      <c r="E20" s="10">
        <v>3500</v>
      </c>
      <c r="F20" s="11">
        <v>2500</v>
      </c>
      <c r="G20" s="11">
        <f t="shared" si="2"/>
        <v>1000</v>
      </c>
      <c r="L20" s="7">
        <f>SUM(F20,H20,I20)</f>
        <v>2500</v>
      </c>
      <c r="M20" s="23">
        <f t="shared" si="4"/>
        <v>0</v>
      </c>
      <c r="N20" s="7">
        <v>1065.5984587796249</v>
      </c>
      <c r="O20" s="7">
        <v>4383</v>
      </c>
      <c r="P20" s="7" t="s">
        <v>29</v>
      </c>
      <c r="Q20" s="30"/>
      <c r="R20" s="5"/>
      <c r="S20" s="7" t="s">
        <v>52</v>
      </c>
      <c r="T20" s="5"/>
      <c r="U20" s="5"/>
      <c r="V20" s="7"/>
      <c r="W20" s="7"/>
      <c r="X20" s="7"/>
      <c r="Y20" s="7"/>
      <c r="Z20" s="7"/>
      <c r="AA20" s="8"/>
      <c r="AB20" s="8"/>
      <c r="AC20" s="8"/>
      <c r="AD20" s="8"/>
      <c r="AE20" s="8"/>
      <c r="AF20" s="7"/>
      <c r="AG20" s="7"/>
      <c r="AH20" s="7"/>
      <c r="AI20" s="7"/>
      <c r="AJ20" s="7"/>
      <c r="AK20" s="7"/>
      <c r="AN20" s="7"/>
      <c r="AO20" s="7"/>
      <c r="AP20" s="7"/>
      <c r="AQ20" s="7"/>
      <c r="AR20" s="7"/>
      <c r="AS20" s="7"/>
      <c r="AU20" s="7"/>
      <c r="AW20" s="7"/>
      <c r="AY20" s="7"/>
      <c r="BA20" s="7"/>
      <c r="BF20" s="7"/>
      <c r="BK20" s="7"/>
    </row>
    <row r="21" spans="1:63" ht="12.75" customHeight="1" x14ac:dyDescent="0.2">
      <c r="A21" s="1">
        <v>1998</v>
      </c>
      <c r="B21" s="1">
        <v>1338</v>
      </c>
      <c r="C21" s="1">
        <v>143</v>
      </c>
      <c r="D21" s="1">
        <f t="shared" si="0"/>
        <v>1481</v>
      </c>
      <c r="E21" s="10">
        <v>3500</v>
      </c>
      <c r="F21" s="11">
        <v>2500</v>
      </c>
      <c r="G21" s="11">
        <f t="shared" si="2"/>
        <v>1000</v>
      </c>
      <c r="L21" s="7">
        <f>SUM(F21,H21,I21)</f>
        <v>2500</v>
      </c>
      <c r="M21" s="23">
        <f t="shared" si="4"/>
        <v>0</v>
      </c>
      <c r="N21" s="7">
        <v>1841.3114670673194</v>
      </c>
      <c r="O21" s="7">
        <v>7537.1691601122393</v>
      </c>
      <c r="P21" s="7" t="s">
        <v>29</v>
      </c>
      <c r="Q21" s="30"/>
      <c r="R21" s="5"/>
      <c r="S21" s="7" t="s">
        <v>52</v>
      </c>
      <c r="T21" s="5"/>
      <c r="U21" s="5"/>
      <c r="V21" s="7"/>
      <c r="W21" s="7"/>
      <c r="X21" s="7"/>
      <c r="Y21" s="7"/>
      <c r="Z21" s="7"/>
      <c r="AA21" s="8"/>
      <c r="AB21" s="8"/>
      <c r="AC21" s="8"/>
      <c r="AD21" s="8"/>
      <c r="AE21" s="8"/>
      <c r="AF21" s="7"/>
      <c r="AG21" s="7"/>
      <c r="AH21" s="7"/>
      <c r="AI21" s="7"/>
      <c r="AJ21" s="7"/>
      <c r="AK21" s="7"/>
      <c r="AN21" s="7"/>
      <c r="AO21" s="7"/>
      <c r="AP21" s="7"/>
      <c r="AQ21" s="7"/>
      <c r="AR21" s="7"/>
      <c r="AS21" s="7"/>
      <c r="AU21" s="7"/>
      <c r="AW21" s="7"/>
      <c r="AY21" s="7"/>
      <c r="BA21" s="7"/>
      <c r="BF21" s="7"/>
      <c r="BK21" s="7"/>
    </row>
    <row r="22" spans="1:63" ht="12.75" customHeight="1" x14ac:dyDescent="0.2">
      <c r="A22" s="1">
        <v>1999</v>
      </c>
      <c r="B22" s="1">
        <v>2135</v>
      </c>
      <c r="C22" s="1">
        <v>204</v>
      </c>
      <c r="D22" s="1">
        <f t="shared" si="0"/>
        <v>2339</v>
      </c>
      <c r="E22" s="10">
        <v>3500</v>
      </c>
      <c r="F22" s="11">
        <v>2500</v>
      </c>
      <c r="G22" s="11">
        <f t="shared" si="2"/>
        <v>1000</v>
      </c>
      <c r="L22" s="7">
        <f t="shared" si="3"/>
        <v>2500</v>
      </c>
      <c r="M22" s="23">
        <f t="shared" si="4"/>
        <v>0</v>
      </c>
      <c r="N22" s="7">
        <v>2122.1119808074445</v>
      </c>
      <c r="O22" s="7">
        <v>10750</v>
      </c>
      <c r="P22" s="7" t="s">
        <v>29</v>
      </c>
      <c r="Q22" s="30"/>
      <c r="R22" s="5"/>
      <c r="S22" s="7" t="s">
        <v>52</v>
      </c>
      <c r="T22" s="5"/>
      <c r="U22" s="5"/>
      <c r="V22" s="7"/>
      <c r="W22" s="7"/>
      <c r="X22" s="7"/>
      <c r="Y22" s="7"/>
      <c r="Z22" s="7"/>
      <c r="AA22" s="8"/>
      <c r="AB22" s="8"/>
      <c r="AC22" s="8"/>
      <c r="AD22" s="8"/>
      <c r="AE22" s="8"/>
      <c r="AF22" s="7"/>
      <c r="AG22" s="7"/>
      <c r="AH22" s="7"/>
      <c r="AI22" s="7"/>
      <c r="AJ22" s="7"/>
      <c r="AK22" s="7"/>
      <c r="AN22" s="7"/>
      <c r="AO22" s="7"/>
      <c r="AP22" s="7"/>
      <c r="AQ22" s="7"/>
      <c r="AR22" s="7"/>
      <c r="AS22" s="7"/>
      <c r="AU22" s="7"/>
      <c r="AW22" s="7"/>
      <c r="AY22" s="7"/>
      <c r="BA22" s="7"/>
      <c r="BF22" s="7"/>
      <c r="BK22" s="7"/>
    </row>
    <row r="23" spans="1:63" ht="12.75" customHeight="1" x14ac:dyDescent="0.2">
      <c r="A23" s="1">
        <v>2000</v>
      </c>
      <c r="B23" s="1">
        <v>3004</v>
      </c>
      <c r="C23" s="1">
        <v>80</v>
      </c>
      <c r="D23" s="1">
        <f t="shared" si="0"/>
        <v>3084</v>
      </c>
      <c r="E23" s="10">
        <v>3500</v>
      </c>
      <c r="F23" s="11">
        <v>2500</v>
      </c>
      <c r="G23" s="11">
        <f t="shared" si="2"/>
        <v>1000</v>
      </c>
      <c r="L23" s="7">
        <f t="shared" si="3"/>
        <v>2500</v>
      </c>
      <c r="M23" s="23">
        <f t="shared" si="4"/>
        <v>0</v>
      </c>
      <c r="N23" s="7">
        <v>1236.7631948819851</v>
      </c>
      <c r="O23" s="7">
        <v>10939</v>
      </c>
      <c r="P23" s="7" t="s">
        <v>29</v>
      </c>
      <c r="Q23" s="30"/>
      <c r="R23" s="5"/>
      <c r="S23" s="7" t="s">
        <v>52</v>
      </c>
      <c r="T23" s="5"/>
      <c r="U23" s="5"/>
      <c r="V23" s="7"/>
      <c r="W23" s="7"/>
      <c r="X23" s="7"/>
      <c r="Y23" s="7"/>
      <c r="Z23" s="7"/>
      <c r="AA23" s="8"/>
      <c r="AB23" s="8"/>
      <c r="AC23" s="8"/>
      <c r="AD23" s="8"/>
      <c r="AE23" s="8"/>
      <c r="AF23" s="7"/>
      <c r="AG23" s="7"/>
      <c r="AH23" s="7"/>
      <c r="AI23" s="7"/>
      <c r="AJ23" s="7"/>
      <c r="AK23" s="7"/>
      <c r="AN23" s="7"/>
      <c r="AO23" s="7"/>
      <c r="AP23" s="7"/>
      <c r="AQ23" s="7"/>
      <c r="AR23" s="7"/>
      <c r="AS23" s="7"/>
      <c r="AU23" s="7"/>
      <c r="AW23" s="7"/>
      <c r="AY23" s="7"/>
      <c r="BA23" s="7"/>
      <c r="BF23" s="7"/>
      <c r="BK23" s="7"/>
    </row>
    <row r="24" spans="1:63" ht="12.75" customHeight="1" x14ac:dyDescent="0.2">
      <c r="A24" s="1">
        <v>2001</v>
      </c>
      <c r="B24" s="1">
        <v>2953</v>
      </c>
      <c r="C24" s="1">
        <v>279</v>
      </c>
      <c r="D24" s="1">
        <f t="shared" si="0"/>
        <v>3232</v>
      </c>
      <c r="E24" s="12">
        <v>6000</v>
      </c>
      <c r="F24" s="11">
        <v>5000</v>
      </c>
      <c r="G24" s="11">
        <f>E24-F24</f>
        <v>1000</v>
      </c>
      <c r="L24" s="7">
        <f>SUM(F24,H24,I24)</f>
        <v>5000</v>
      </c>
      <c r="M24" s="23">
        <f t="shared" si="4"/>
        <v>0</v>
      </c>
      <c r="N24" s="7">
        <v>2161.4633233170166</v>
      </c>
      <c r="O24" s="7">
        <v>7582</v>
      </c>
      <c r="P24" s="7" t="s">
        <v>29</v>
      </c>
      <c r="Q24" s="30"/>
      <c r="R24" s="5"/>
      <c r="S24" s="7" t="s">
        <v>52</v>
      </c>
      <c r="T24" s="5"/>
      <c r="U24" s="5"/>
      <c r="V24" s="7"/>
      <c r="W24" s="7"/>
      <c r="X24" s="7"/>
      <c r="Y24" s="7"/>
      <c r="Z24" s="7"/>
      <c r="AA24" s="8"/>
      <c r="AB24" s="8"/>
      <c r="AC24" s="8"/>
      <c r="AD24" s="8"/>
      <c r="AE24" s="8"/>
      <c r="AF24" s="7"/>
      <c r="AG24" s="7"/>
      <c r="AH24" s="7"/>
      <c r="AI24" s="7"/>
      <c r="AJ24" s="7"/>
      <c r="AK24" s="7"/>
      <c r="AN24" s="7"/>
      <c r="AO24" s="7"/>
      <c r="AP24" s="7"/>
      <c r="AQ24" s="7"/>
      <c r="AR24" s="7"/>
      <c r="AS24" s="7"/>
      <c r="AU24" s="7"/>
      <c r="AW24" s="7"/>
      <c r="AY24" s="7"/>
      <c r="BA24" s="7"/>
      <c r="BF24" s="7"/>
      <c r="BK24" s="7"/>
    </row>
    <row r="25" spans="1:63" ht="12.75" customHeight="1" x14ac:dyDescent="0.2">
      <c r="A25" s="1">
        <v>2002</v>
      </c>
      <c r="B25" s="1">
        <v>1413</v>
      </c>
      <c r="C25" s="1">
        <v>133</v>
      </c>
      <c r="D25" s="1">
        <f t="shared" si="0"/>
        <v>1546</v>
      </c>
      <c r="E25" s="11">
        <f>SUM(F25:I25)</f>
        <v>3962</v>
      </c>
      <c r="F25" s="4"/>
      <c r="G25" s="28">
        <v>0</v>
      </c>
      <c r="H25" s="1">
        <v>3962</v>
      </c>
      <c r="L25" s="7">
        <f>SUM(F25,H25,I25)</f>
        <v>3962</v>
      </c>
      <c r="M25" s="23">
        <f>SUM(J25,K25)</f>
        <v>0</v>
      </c>
      <c r="N25" s="7">
        <v>1640.1634517520476</v>
      </c>
      <c r="O25" s="7">
        <v>3912.8933133262135</v>
      </c>
      <c r="P25" s="7" t="s">
        <v>29</v>
      </c>
      <c r="Q25" s="31"/>
      <c r="R25" s="5" t="s">
        <v>33</v>
      </c>
      <c r="S25" s="7" t="s">
        <v>52</v>
      </c>
      <c r="T25" s="5"/>
      <c r="U25" s="5"/>
      <c r="V25" s="7"/>
      <c r="W25" s="7"/>
      <c r="X25" s="7"/>
      <c r="Y25" s="7"/>
      <c r="Z25" s="7"/>
      <c r="AA25" s="8"/>
      <c r="AB25" s="8"/>
      <c r="AC25" s="8"/>
      <c r="AD25" s="8"/>
      <c r="AE25" s="8"/>
      <c r="AF25" s="7"/>
      <c r="AG25" s="7"/>
      <c r="AH25" s="7"/>
      <c r="AI25" s="7"/>
      <c r="AJ25" s="7"/>
      <c r="AK25" s="7"/>
      <c r="AN25" s="7"/>
      <c r="AO25" s="7"/>
      <c r="AP25" s="7"/>
      <c r="AQ25" s="7"/>
      <c r="AR25" s="7"/>
      <c r="AS25" s="7"/>
      <c r="AU25" s="7"/>
      <c r="AW25" s="7"/>
      <c r="AY25" s="7"/>
      <c r="BA25" s="7"/>
      <c r="BF25" s="7"/>
      <c r="BK25" s="7"/>
    </row>
    <row r="26" spans="1:63" ht="12.75" customHeight="1" x14ac:dyDescent="0.2">
      <c r="A26" s="1">
        <v>2003</v>
      </c>
      <c r="B26" s="1">
        <v>1636</v>
      </c>
      <c r="C26" s="1">
        <v>134</v>
      </c>
      <c r="D26" s="1">
        <f t="shared" si="0"/>
        <v>1770</v>
      </c>
      <c r="E26" s="11">
        <f>SUM(F26:I26)</f>
        <v>6280</v>
      </c>
      <c r="F26" s="4"/>
      <c r="G26" s="28">
        <v>0</v>
      </c>
      <c r="H26" s="1">
        <v>5711</v>
      </c>
      <c r="I26" s="1">
        <v>569</v>
      </c>
      <c r="J26" s="1">
        <v>995</v>
      </c>
      <c r="K26" s="1">
        <v>97</v>
      </c>
      <c r="L26" s="7">
        <f>SUM(F26,H26,I26)</f>
        <v>6280</v>
      </c>
      <c r="M26" s="23">
        <f>SUM(J26,K26)</f>
        <v>1092</v>
      </c>
      <c r="N26" s="7">
        <v>2499.7361750593709</v>
      </c>
      <c r="O26" s="7">
        <v>7642.8082590291433</v>
      </c>
      <c r="P26" s="7" t="s">
        <v>29</v>
      </c>
      <c r="Q26" s="31"/>
      <c r="R26" s="5" t="s">
        <v>33</v>
      </c>
      <c r="S26" s="7" t="s">
        <v>52</v>
      </c>
      <c r="T26" s="5"/>
      <c r="U26" s="5"/>
      <c r="V26" s="7"/>
      <c r="W26" s="7"/>
      <c r="X26" s="7"/>
      <c r="Y26" s="7"/>
      <c r="Z26" s="7"/>
      <c r="AA26" s="8"/>
      <c r="AB26" s="8"/>
      <c r="AC26" s="8"/>
      <c r="AD26" s="8"/>
      <c r="AE26" s="8"/>
      <c r="AF26" s="7"/>
      <c r="AG26" s="7"/>
      <c r="AH26" s="7"/>
      <c r="AI26" s="7"/>
      <c r="AJ26" s="7"/>
      <c r="AK26" s="7"/>
      <c r="AN26" s="7"/>
      <c r="AO26" s="7"/>
      <c r="AP26" s="7"/>
      <c r="AQ26" s="7"/>
      <c r="AR26" s="7"/>
      <c r="AS26" s="7"/>
      <c r="AU26" s="7"/>
      <c r="AW26" s="7"/>
      <c r="AY26" s="7"/>
      <c r="BA26" s="7"/>
      <c r="BF26" s="7"/>
      <c r="BK26" s="7"/>
    </row>
    <row r="27" spans="1:63" ht="12.75" customHeight="1" x14ac:dyDescent="0.2">
      <c r="A27" s="1">
        <v>2004</v>
      </c>
      <c r="B27" s="1">
        <v>995</v>
      </c>
      <c r="C27" s="1">
        <v>92</v>
      </c>
      <c r="D27" s="1">
        <f t="shared" si="0"/>
        <v>1087</v>
      </c>
      <c r="E27" s="12">
        <v>6000</v>
      </c>
      <c r="F27" s="11">
        <v>5000</v>
      </c>
      <c r="G27" s="11">
        <f>E27-F27</f>
        <v>1000</v>
      </c>
      <c r="L27" s="7">
        <f>SUM(F27,H27,I27)</f>
        <v>5000</v>
      </c>
      <c r="M27" s="23">
        <f>SUM(J27,K27)</f>
        <v>0</v>
      </c>
      <c r="N27" s="7">
        <v>2067.8571463190037</v>
      </c>
      <c r="O27" s="7">
        <v>6472.4001409068924</v>
      </c>
      <c r="P27" s="7" t="s">
        <v>29</v>
      </c>
      <c r="Q27" s="30"/>
      <c r="R27" s="5"/>
      <c r="S27" s="7" t="s">
        <v>52</v>
      </c>
      <c r="T27" s="5"/>
      <c r="U27" s="5"/>
      <c r="V27" s="7"/>
      <c r="W27" s="7"/>
      <c r="X27" s="7"/>
      <c r="Y27" s="7"/>
      <c r="Z27" s="7"/>
      <c r="AA27" s="8"/>
      <c r="AB27" s="8"/>
      <c r="AC27" s="8"/>
      <c r="AD27" s="8"/>
      <c r="AE27" s="8"/>
      <c r="AF27" s="7"/>
      <c r="AG27" s="7"/>
      <c r="AH27" s="7"/>
      <c r="AI27" s="7"/>
      <c r="AJ27" s="7"/>
      <c r="AK27" s="7"/>
      <c r="AN27" s="7"/>
      <c r="AO27" s="7"/>
      <c r="AP27" s="7"/>
      <c r="AQ27" s="7"/>
      <c r="AR27" s="7"/>
      <c r="AS27" s="7"/>
      <c r="AU27" s="7"/>
      <c r="AW27" s="7"/>
      <c r="AY27" s="7"/>
      <c r="BA27" s="7"/>
      <c r="BF27" s="7"/>
      <c r="BK27" s="7"/>
    </row>
    <row r="28" spans="1:63" ht="12.75" customHeight="1" x14ac:dyDescent="0.2">
      <c r="A28" s="1">
        <v>2005</v>
      </c>
      <c r="B28" s="1">
        <v>1136</v>
      </c>
      <c r="C28" s="1">
        <v>196</v>
      </c>
      <c r="D28" s="1">
        <f t="shared" si="0"/>
        <v>1332</v>
      </c>
      <c r="E28" s="10">
        <v>3500</v>
      </c>
      <c r="F28" s="11">
        <v>2500</v>
      </c>
      <c r="G28" s="11">
        <f>E28-F28</f>
        <v>1000</v>
      </c>
      <c r="L28" s="7">
        <f t="shared" ref="L28:L32" si="5">SUM(F28,H28,I28)</f>
        <v>2500</v>
      </c>
      <c r="M28" s="23">
        <f t="shared" si="4"/>
        <v>0</v>
      </c>
      <c r="N28" s="7">
        <v>1914.7953763388746</v>
      </c>
      <c r="O28" s="7">
        <v>5498.4100135859335</v>
      </c>
      <c r="P28" s="7" t="s">
        <v>29</v>
      </c>
      <c r="Q28" s="30"/>
      <c r="R28" s="5"/>
      <c r="S28" s="7" t="s">
        <v>52</v>
      </c>
      <c r="T28" s="5"/>
      <c r="U28" s="5"/>
      <c r="V28" s="7"/>
      <c r="W28" s="7"/>
      <c r="X28" s="7"/>
      <c r="Y28" s="7"/>
      <c r="Z28" s="7"/>
      <c r="AA28" s="8"/>
      <c r="AB28" s="8"/>
      <c r="AC28" s="8"/>
      <c r="AD28" s="8"/>
      <c r="AE28" s="8"/>
      <c r="AF28" s="7"/>
      <c r="AG28" s="7"/>
      <c r="AH28" s="7"/>
      <c r="AI28" s="7"/>
      <c r="AJ28" s="7"/>
      <c r="AK28" s="7"/>
      <c r="AN28" s="7"/>
      <c r="AO28" s="7"/>
      <c r="AP28" s="7"/>
      <c r="AQ28" s="7"/>
      <c r="AR28" s="7"/>
      <c r="AS28" s="7"/>
      <c r="AU28" s="7"/>
      <c r="AW28" s="7"/>
      <c r="AY28" s="7"/>
      <c r="BA28" s="7"/>
      <c r="BF28" s="7"/>
      <c r="BK28" s="7"/>
    </row>
    <row r="29" spans="1:63" ht="12.75" customHeight="1" x14ac:dyDescent="0.2">
      <c r="A29" s="1">
        <v>2006</v>
      </c>
      <c r="B29" s="1">
        <v>1178</v>
      </c>
      <c r="C29" s="1">
        <v>51</v>
      </c>
      <c r="D29" s="1">
        <f t="shared" si="0"/>
        <v>1229</v>
      </c>
      <c r="E29" s="10">
        <v>3500</v>
      </c>
      <c r="F29" s="11">
        <v>2500</v>
      </c>
      <c r="G29" s="11">
        <f>E29-F29</f>
        <v>1000</v>
      </c>
      <c r="L29" s="7">
        <f t="shared" si="5"/>
        <v>2500</v>
      </c>
      <c r="M29" s="23">
        <f t="shared" si="4"/>
        <v>0</v>
      </c>
      <c r="N29" s="7">
        <v>1335.9871322638492</v>
      </c>
      <c r="O29" s="7">
        <v>6928.7145708721309</v>
      </c>
      <c r="P29" s="7" t="s">
        <v>29</v>
      </c>
      <c r="Q29" s="30"/>
      <c r="R29" s="5"/>
      <c r="S29" s="7" t="s">
        <v>52</v>
      </c>
      <c r="T29" s="5"/>
      <c r="U29" s="5"/>
      <c r="V29" s="7"/>
      <c r="W29" s="7"/>
      <c r="X29" s="7"/>
      <c r="Y29" s="7"/>
      <c r="Z29" s="7"/>
      <c r="AA29" s="8"/>
      <c r="AB29" s="8"/>
      <c r="AC29" s="8"/>
      <c r="AD29" s="8"/>
      <c r="AE29" s="8"/>
      <c r="AF29" s="7"/>
      <c r="AG29" s="7"/>
      <c r="AH29" s="7"/>
      <c r="AI29" s="7"/>
      <c r="AJ29" s="7"/>
      <c r="AK29" s="7"/>
      <c r="AN29" s="7"/>
      <c r="AO29" s="7"/>
      <c r="AP29" s="7"/>
      <c r="AQ29" s="7"/>
      <c r="AR29" s="7"/>
      <c r="AS29" s="7"/>
      <c r="AU29" s="7"/>
      <c r="AW29" s="7"/>
      <c r="AY29" s="7"/>
      <c r="BA29" s="7"/>
      <c r="BF29" s="7"/>
      <c r="BK29" s="7"/>
    </row>
    <row r="30" spans="1:63" ht="12.75" customHeight="1" x14ac:dyDescent="0.2">
      <c r="A30" s="1">
        <v>2007</v>
      </c>
      <c r="B30" s="1">
        <v>1302</v>
      </c>
      <c r="C30" s="1">
        <v>116</v>
      </c>
      <c r="D30" s="1">
        <f t="shared" si="0"/>
        <v>1418</v>
      </c>
      <c r="E30" s="11">
        <f>SUM(F30:I30)</f>
        <v>500</v>
      </c>
      <c r="F30" s="4"/>
      <c r="G30" s="28">
        <v>0</v>
      </c>
      <c r="H30" s="1">
        <v>500</v>
      </c>
      <c r="L30" s="7">
        <f>SUM(F30,H30,I30)</f>
        <v>500</v>
      </c>
      <c r="M30" s="23">
        <f t="shared" si="4"/>
        <v>0</v>
      </c>
      <c r="N30" s="7">
        <v>1352</v>
      </c>
      <c r="O30" s="7">
        <v>4369.4293016087877</v>
      </c>
      <c r="P30" s="7" t="s">
        <v>29</v>
      </c>
      <c r="Q30" s="30"/>
      <c r="R30" s="5"/>
      <c r="S30" s="7" t="s">
        <v>52</v>
      </c>
      <c r="T30" s="5"/>
      <c r="U30" s="5"/>
      <c r="V30" s="7"/>
      <c r="W30" s="7"/>
      <c r="X30" s="7"/>
      <c r="Y30" s="7"/>
      <c r="Z30" s="7"/>
      <c r="AA30" s="8"/>
      <c r="AB30" s="8"/>
      <c r="AC30" s="8"/>
      <c r="AD30" s="8"/>
      <c r="AE30" s="8"/>
      <c r="AF30" s="7"/>
      <c r="AG30" s="7"/>
      <c r="AH30" s="7"/>
      <c r="AI30" s="7"/>
      <c r="AJ30" s="7"/>
      <c r="AK30" s="7"/>
      <c r="AN30" s="7"/>
      <c r="AO30" s="7"/>
      <c r="AP30" s="7"/>
      <c r="AQ30" s="7"/>
      <c r="AR30" s="7"/>
      <c r="AS30" s="7"/>
      <c r="AU30" s="7"/>
      <c r="AW30" s="7"/>
      <c r="AY30" s="7"/>
      <c r="BA30" s="7"/>
      <c r="BF30" s="7"/>
      <c r="BK30" s="7"/>
    </row>
    <row r="31" spans="1:63" ht="12.75" customHeight="1" x14ac:dyDescent="0.2">
      <c r="A31" s="1">
        <v>2008</v>
      </c>
      <c r="B31" s="1">
        <v>1293</v>
      </c>
      <c r="C31" s="1">
        <v>108</v>
      </c>
      <c r="D31" s="1">
        <f t="shared" si="0"/>
        <v>1401</v>
      </c>
      <c r="E31" s="10">
        <v>3500</v>
      </c>
      <c r="F31" s="11">
        <v>2500</v>
      </c>
      <c r="G31" s="11">
        <f>E31-F31</f>
        <v>1000</v>
      </c>
      <c r="L31" s="7">
        <f t="shared" si="5"/>
        <v>2500</v>
      </c>
      <c r="M31" s="23">
        <f t="shared" si="4"/>
        <v>0</v>
      </c>
      <c r="N31" s="7">
        <v>1131</v>
      </c>
      <c r="O31" s="7">
        <v>6642.796308598884</v>
      </c>
      <c r="P31" s="7" t="s">
        <v>29</v>
      </c>
      <c r="Q31" s="30"/>
      <c r="R31" s="5"/>
      <c r="S31" s="7" t="s">
        <v>52</v>
      </c>
      <c r="T31" s="5"/>
      <c r="U31" s="5"/>
      <c r="V31" s="7"/>
      <c r="W31" s="7"/>
      <c r="X31" s="7"/>
      <c r="Y31" s="7"/>
      <c r="Z31" s="7"/>
      <c r="AA31" s="8"/>
      <c r="AB31" s="8"/>
      <c r="AC31" s="8"/>
      <c r="AD31" s="8"/>
      <c r="AE31" s="8"/>
      <c r="AF31" s="7"/>
      <c r="AG31" s="7"/>
      <c r="AH31" s="7"/>
      <c r="AI31" s="7"/>
      <c r="AJ31" s="7"/>
      <c r="AK31" s="7"/>
      <c r="AN31" s="7"/>
      <c r="AO31" s="7"/>
      <c r="AP31" s="7"/>
      <c r="AQ31" s="7"/>
      <c r="AR31" s="7"/>
      <c r="AS31" s="7"/>
      <c r="AU31" s="7"/>
      <c r="AW31" s="7"/>
      <c r="AY31" s="7"/>
      <c r="BA31" s="7"/>
      <c r="BF31" s="7"/>
      <c r="BK31" s="7"/>
    </row>
    <row r="32" spans="1:63" ht="12.75" customHeight="1" x14ac:dyDescent="0.2">
      <c r="A32" s="1">
        <v>2009</v>
      </c>
      <c r="B32" s="1">
        <v>1189</v>
      </c>
      <c r="C32" s="1">
        <v>133</v>
      </c>
      <c r="D32" s="1">
        <f t="shared" si="0"/>
        <v>1322</v>
      </c>
      <c r="E32" s="10">
        <v>3500</v>
      </c>
      <c r="F32" s="11">
        <v>2500</v>
      </c>
      <c r="G32" s="11">
        <f>E32-F32</f>
        <v>1000</v>
      </c>
      <c r="L32" s="7">
        <f t="shared" si="5"/>
        <v>2500</v>
      </c>
      <c r="M32" s="23">
        <f t="shared" si="4"/>
        <v>0</v>
      </c>
      <c r="N32" s="7">
        <v>1774.7928076382495</v>
      </c>
      <c r="O32" s="7">
        <v>4339.2319519918001</v>
      </c>
      <c r="P32" s="7" t="s">
        <v>29</v>
      </c>
      <c r="Q32" s="30"/>
      <c r="R32" s="5"/>
      <c r="S32" s="7" t="s">
        <v>52</v>
      </c>
      <c r="T32" s="5"/>
      <c r="U32" s="5"/>
      <c r="V32" s="7"/>
      <c r="W32" s="7"/>
      <c r="X32" s="7"/>
      <c r="Y32" s="7"/>
      <c r="Z32" s="7"/>
      <c r="AA32" s="8"/>
      <c r="AB32" s="8"/>
      <c r="AC32" s="8"/>
      <c r="AD32" s="8"/>
      <c r="AE32" s="8"/>
      <c r="AF32" s="7"/>
      <c r="AG32" s="7"/>
      <c r="AH32" s="7"/>
      <c r="AI32" s="7"/>
      <c r="AJ32" s="7"/>
      <c r="AK32" s="7"/>
      <c r="AN32" s="7"/>
      <c r="AO32" s="7"/>
      <c r="AP32" s="7"/>
      <c r="AQ32" s="7"/>
      <c r="AR32" s="7"/>
      <c r="AS32" s="7"/>
      <c r="AU32" s="7"/>
      <c r="AW32" s="7"/>
      <c r="AY32" s="7"/>
      <c r="BA32" s="7"/>
      <c r="BF32" s="7"/>
      <c r="BK32" s="7"/>
    </row>
    <row r="33" spans="1:63" ht="12.75" customHeight="1" x14ac:dyDescent="0.2">
      <c r="A33" s="1">
        <v>2010</v>
      </c>
      <c r="B33" s="1">
        <v>959</v>
      </c>
      <c r="C33" s="1">
        <v>84</v>
      </c>
      <c r="D33" s="1">
        <f t="shared" si="0"/>
        <v>1043</v>
      </c>
      <c r="E33" s="11">
        <f t="shared" ref="E33:E41" si="6">SUM(F33:I33)</f>
        <v>2820</v>
      </c>
      <c r="F33" s="11">
        <v>2350</v>
      </c>
      <c r="G33" s="14">
        <f t="shared" ref="G33:G40" si="7">ROUND(0.2*SUM(F33,H33,I33),0)</f>
        <v>470</v>
      </c>
      <c r="J33" s="7"/>
      <c r="K33" s="7"/>
      <c r="L33" s="7">
        <f>SUM(F33,H33,I33)</f>
        <v>2350</v>
      </c>
      <c r="M33" s="23">
        <f>2720-F33</f>
        <v>370</v>
      </c>
      <c r="N33" s="7">
        <v>433.51609072844474</v>
      </c>
      <c r="O33" s="7">
        <v>5173</v>
      </c>
      <c r="P33" s="7" t="s">
        <v>29</v>
      </c>
      <c r="Q33" s="33" t="s">
        <v>47</v>
      </c>
      <c r="R33" s="5"/>
      <c r="S33" s="7" t="s">
        <v>52</v>
      </c>
      <c r="T33" s="5" t="s">
        <v>34</v>
      </c>
      <c r="U33" s="5"/>
      <c r="V33" s="7"/>
      <c r="W33" s="7"/>
      <c r="X33" s="7"/>
      <c r="Y33" s="7"/>
      <c r="Z33" s="7"/>
      <c r="AA33" s="8"/>
      <c r="AB33" s="8"/>
      <c r="AC33" s="8"/>
      <c r="AD33" s="8"/>
      <c r="AE33" s="8"/>
      <c r="AF33" s="7"/>
      <c r="AG33" s="7"/>
      <c r="AH33" s="7"/>
      <c r="AI33" s="7"/>
      <c r="AJ33" s="7"/>
      <c r="AK33" s="7"/>
      <c r="AN33" s="7"/>
      <c r="AO33" s="7"/>
      <c r="AP33" s="7"/>
      <c r="AQ33" s="7"/>
      <c r="AR33" s="7"/>
      <c r="AS33" s="7"/>
      <c r="AU33" s="7"/>
      <c r="AW33" s="7"/>
      <c r="AY33" s="7"/>
      <c r="BA33" s="7"/>
      <c r="BF33" s="7"/>
      <c r="BK33" s="7"/>
    </row>
    <row r="34" spans="1:63" ht="12.75" customHeight="1" x14ac:dyDescent="0.2">
      <c r="A34" s="1">
        <v>2011</v>
      </c>
      <c r="B34" s="1">
        <v>976</v>
      </c>
      <c r="C34" s="1">
        <v>128</v>
      </c>
      <c r="D34" s="1">
        <f t="shared" si="0"/>
        <v>1104</v>
      </c>
      <c r="E34" s="11">
        <f t="shared" si="6"/>
        <v>2033</v>
      </c>
      <c r="F34" s="11">
        <v>1694</v>
      </c>
      <c r="G34" s="14">
        <f t="shared" si="7"/>
        <v>339</v>
      </c>
      <c r="L34" s="7">
        <f>SUM(F34,H34,I34)</f>
        <v>1694</v>
      </c>
      <c r="M34" s="23">
        <f>2540-F34</f>
        <v>846</v>
      </c>
      <c r="N34" s="7">
        <v>1020.5538153344096</v>
      </c>
      <c r="O34" s="7">
        <v>4358</v>
      </c>
      <c r="P34" s="7" t="s">
        <v>29</v>
      </c>
      <c r="Q34" s="33" t="s">
        <v>46</v>
      </c>
      <c r="R34" s="5"/>
      <c r="S34" s="7" t="s">
        <v>52</v>
      </c>
      <c r="T34" s="5" t="s">
        <v>34</v>
      </c>
      <c r="U34" s="5"/>
      <c r="V34" s="7"/>
      <c r="W34" s="7"/>
      <c r="X34" s="7"/>
      <c r="Y34" s="7"/>
      <c r="Z34" s="7"/>
      <c r="AA34" s="8"/>
      <c r="AB34" s="8"/>
      <c r="AC34" s="8"/>
      <c r="AD34" s="8"/>
      <c r="AE34" s="8"/>
      <c r="AF34" s="7"/>
      <c r="AG34" s="7"/>
      <c r="AH34" s="7"/>
      <c r="AI34" s="7"/>
      <c r="AJ34" s="7"/>
      <c r="AK34" s="7"/>
      <c r="AN34" s="7"/>
      <c r="AO34" s="7"/>
      <c r="AP34" s="7"/>
      <c r="AQ34" s="7"/>
      <c r="AR34" s="7"/>
      <c r="AS34" s="7"/>
      <c r="AU34" s="7"/>
      <c r="AW34" s="7"/>
      <c r="AY34" s="7"/>
      <c r="BA34" s="7"/>
      <c r="BF34" s="7"/>
      <c r="BK34" s="7"/>
    </row>
    <row r="35" spans="1:63" ht="12.75" customHeight="1" x14ac:dyDescent="0.2">
      <c r="A35" s="1">
        <v>2012</v>
      </c>
      <c r="B35" s="1">
        <v>575</v>
      </c>
      <c r="C35" s="1">
        <v>70</v>
      </c>
      <c r="D35" s="1">
        <f t="shared" si="0"/>
        <v>645</v>
      </c>
      <c r="E35" s="11">
        <f t="shared" si="6"/>
        <v>811</v>
      </c>
      <c r="F35" s="4"/>
      <c r="G35" s="14">
        <f t="shared" si="7"/>
        <v>135</v>
      </c>
      <c r="H35" s="1">
        <v>420</v>
      </c>
      <c r="I35" s="1">
        <v>256</v>
      </c>
      <c r="J35" s="1">
        <f>571-H35</f>
        <v>151</v>
      </c>
      <c r="K35" s="1">
        <f>387-I35</f>
        <v>131</v>
      </c>
      <c r="L35" s="7">
        <f t="shared" ref="L33:L38" si="8">SUM(F35,H35,I35)</f>
        <v>676</v>
      </c>
      <c r="M35" s="23">
        <f t="shared" ref="M35:M45" si="9">SUM(J35,K35)</f>
        <v>282</v>
      </c>
      <c r="N35" s="7">
        <v>968.17880492663608</v>
      </c>
      <c r="O35" s="7">
        <v>2495</v>
      </c>
      <c r="P35" s="7" t="s">
        <v>29</v>
      </c>
      <c r="Q35" s="29" t="s">
        <v>48</v>
      </c>
      <c r="R35" s="5" t="s">
        <v>33</v>
      </c>
      <c r="S35" s="7" t="s">
        <v>52</v>
      </c>
      <c r="T35" s="5" t="s">
        <v>34</v>
      </c>
      <c r="U35" s="5"/>
      <c r="V35" s="7"/>
      <c r="W35" s="7"/>
      <c r="X35" s="7"/>
      <c r="Y35" s="7"/>
      <c r="Z35" s="7"/>
      <c r="AA35" s="8"/>
      <c r="AB35" s="8"/>
      <c r="AC35" s="8"/>
      <c r="AD35" s="8"/>
      <c r="AE35" s="8"/>
      <c r="AF35" s="7"/>
      <c r="AG35" s="7"/>
      <c r="AH35" s="7"/>
      <c r="AI35" s="7"/>
      <c r="AJ35" s="7"/>
      <c r="AK35" s="7"/>
      <c r="AN35" s="7"/>
      <c r="AO35" s="7"/>
      <c r="AP35" s="7"/>
      <c r="AQ35" s="7"/>
      <c r="AR35" s="7"/>
      <c r="AS35" s="7"/>
      <c r="AU35" s="7"/>
      <c r="AW35" s="7"/>
      <c r="AY35" s="7"/>
      <c r="BA35" s="7"/>
      <c r="BF35" s="7"/>
      <c r="BK35" s="7"/>
    </row>
    <row r="36" spans="1:63" ht="12.75" customHeight="1" x14ac:dyDescent="0.2">
      <c r="A36" s="1">
        <v>2013</v>
      </c>
      <c r="B36" s="1">
        <v>547</v>
      </c>
      <c r="C36" s="1">
        <v>95</v>
      </c>
      <c r="D36" s="1">
        <f t="shared" si="0"/>
        <v>642</v>
      </c>
      <c r="E36" s="11">
        <f t="shared" si="6"/>
        <v>2834</v>
      </c>
      <c r="F36" s="4"/>
      <c r="G36" s="14">
        <f t="shared" si="7"/>
        <v>472</v>
      </c>
      <c r="H36" s="1">
        <v>1530</v>
      </c>
      <c r="I36" s="1">
        <v>832</v>
      </c>
      <c r="J36" s="1">
        <f>1936-H36</f>
        <v>406</v>
      </c>
      <c r="K36" s="1">
        <f>1202-I36</f>
        <v>370</v>
      </c>
      <c r="L36" s="7">
        <f t="shared" si="8"/>
        <v>2362</v>
      </c>
      <c r="M36" s="23">
        <f t="shared" si="9"/>
        <v>776</v>
      </c>
      <c r="N36" s="7">
        <v>429.76675775798543</v>
      </c>
      <c r="O36" s="7">
        <v>2186</v>
      </c>
      <c r="P36" s="7" t="s">
        <v>29</v>
      </c>
      <c r="Q36" s="33" t="s">
        <v>49</v>
      </c>
      <c r="R36" s="5" t="s">
        <v>33</v>
      </c>
      <c r="S36" s="7" t="s">
        <v>52</v>
      </c>
      <c r="T36" s="5" t="s">
        <v>34</v>
      </c>
      <c r="U36" s="5"/>
      <c r="V36" s="7"/>
      <c r="W36" s="7"/>
      <c r="X36" s="7"/>
      <c r="Y36" s="7"/>
      <c r="Z36" s="7"/>
      <c r="AA36" s="8"/>
      <c r="AB36" s="8"/>
      <c r="AC36" s="8"/>
      <c r="AD36" s="8"/>
      <c r="AE36" s="8"/>
      <c r="AF36" s="7"/>
      <c r="AG36" s="7"/>
      <c r="AH36" s="7"/>
      <c r="AI36" s="7"/>
      <c r="AJ36" s="7"/>
      <c r="AK36" s="7"/>
      <c r="AN36" s="7"/>
      <c r="AO36" s="7"/>
      <c r="AP36" s="7"/>
      <c r="AQ36" s="7"/>
      <c r="AR36" s="7"/>
      <c r="AS36" s="7"/>
      <c r="AU36" s="7"/>
      <c r="AW36" s="7"/>
      <c r="AY36" s="7"/>
      <c r="BA36" s="7"/>
      <c r="BF36" s="7"/>
      <c r="BK36" s="7"/>
    </row>
    <row r="37" spans="1:63" ht="12.75" customHeight="1" x14ac:dyDescent="0.2">
      <c r="A37" s="1">
        <v>2014</v>
      </c>
      <c r="B37" s="1">
        <v>482</v>
      </c>
      <c r="C37" s="1">
        <v>122</v>
      </c>
      <c r="D37" s="1">
        <f t="shared" si="0"/>
        <v>604</v>
      </c>
      <c r="E37" s="11">
        <f t="shared" si="6"/>
        <v>5437</v>
      </c>
      <c r="F37" s="4"/>
      <c r="G37" s="14">
        <f t="shared" si="7"/>
        <v>906</v>
      </c>
      <c r="H37" s="1">
        <v>2691</v>
      </c>
      <c r="I37" s="1">
        <v>1840</v>
      </c>
      <c r="J37" s="1">
        <f>2888-H37</f>
        <v>197</v>
      </c>
      <c r="K37" s="1">
        <f>2116-I37</f>
        <v>276</v>
      </c>
      <c r="L37" s="7">
        <f t="shared" si="8"/>
        <v>4531</v>
      </c>
      <c r="M37" s="23">
        <f t="shared" si="9"/>
        <v>473</v>
      </c>
      <c r="N37" s="7">
        <v>368.54113835565875</v>
      </c>
      <c r="O37" s="7">
        <v>3223</v>
      </c>
      <c r="P37" s="7" t="s">
        <v>29</v>
      </c>
      <c r="Q37" s="33" t="s">
        <v>50</v>
      </c>
      <c r="R37" s="5" t="s">
        <v>33</v>
      </c>
      <c r="S37" s="7" t="s">
        <v>52</v>
      </c>
      <c r="T37" s="5" t="s">
        <v>34</v>
      </c>
      <c r="U37" s="5"/>
      <c r="V37" s="7"/>
      <c r="W37" s="7"/>
      <c r="X37" s="7"/>
      <c r="Y37" s="7"/>
      <c r="Z37" s="7"/>
      <c r="AA37" s="8"/>
      <c r="AB37" s="8"/>
      <c r="AC37" s="8"/>
      <c r="AD37" s="8"/>
      <c r="AE37" s="8"/>
      <c r="AF37" s="7"/>
      <c r="AG37" s="7"/>
      <c r="AH37" s="7"/>
      <c r="AI37" s="7"/>
      <c r="AJ37" s="7"/>
      <c r="AK37" s="7"/>
      <c r="AN37" s="7"/>
      <c r="AO37" s="7"/>
      <c r="AP37" s="7"/>
      <c r="AQ37" s="7"/>
      <c r="AR37" s="7"/>
      <c r="AS37" s="7"/>
      <c r="AU37" s="7"/>
      <c r="AW37" s="7"/>
      <c r="AY37" s="7"/>
      <c r="BA37" s="7"/>
      <c r="BF37" s="7"/>
      <c r="BK37" s="7"/>
    </row>
    <row r="38" spans="1:63" ht="12.75" customHeight="1" x14ac:dyDescent="0.2">
      <c r="A38" s="1">
        <v>2015</v>
      </c>
      <c r="B38" s="1">
        <v>750</v>
      </c>
      <c r="C38" s="1">
        <v>102</v>
      </c>
      <c r="D38" s="1">
        <f t="shared" si="0"/>
        <v>852</v>
      </c>
      <c r="E38" s="11">
        <f t="shared" si="6"/>
        <v>5897</v>
      </c>
      <c r="F38" s="4"/>
      <c r="G38" s="14">
        <f t="shared" si="7"/>
        <v>983</v>
      </c>
      <c r="H38" s="1">
        <v>3440</v>
      </c>
      <c r="I38" s="1">
        <v>1474</v>
      </c>
      <c r="J38" s="1">
        <f>3921-H38</f>
        <v>481</v>
      </c>
      <c r="K38" s="1">
        <f>1577-I38</f>
        <v>103</v>
      </c>
      <c r="L38" s="7">
        <f t="shared" si="8"/>
        <v>4914</v>
      </c>
      <c r="M38" s="23">
        <f t="shared" si="9"/>
        <v>584</v>
      </c>
      <c r="N38" s="7">
        <v>913.85765148436599</v>
      </c>
      <c r="O38" s="7">
        <v>5961.1813888125944</v>
      </c>
      <c r="P38" s="7" t="s">
        <v>29</v>
      </c>
      <c r="Q38" s="33" t="s">
        <v>51</v>
      </c>
      <c r="R38" s="5" t="s">
        <v>33</v>
      </c>
      <c r="S38" s="7" t="s">
        <v>52</v>
      </c>
      <c r="T38" s="5" t="s">
        <v>34</v>
      </c>
      <c r="U38" s="5"/>
      <c r="V38" s="7"/>
      <c r="W38" s="7"/>
      <c r="X38" s="7"/>
      <c r="Y38" s="7"/>
      <c r="Z38" s="7"/>
      <c r="AA38" s="8"/>
      <c r="AB38" s="8"/>
      <c r="AC38" s="8"/>
      <c r="AD38" s="8"/>
      <c r="AE38" s="8"/>
      <c r="AF38" s="7"/>
      <c r="AG38" s="7"/>
      <c r="AH38" s="7"/>
      <c r="AI38" s="7"/>
      <c r="AJ38" s="7"/>
      <c r="AK38" s="7"/>
      <c r="AN38" s="7"/>
      <c r="AO38" s="7"/>
      <c r="AP38" s="7"/>
      <c r="AQ38" s="7"/>
      <c r="AR38" s="7"/>
      <c r="AS38" s="7"/>
      <c r="AU38" s="7"/>
      <c r="AW38" s="7"/>
      <c r="AY38" s="7"/>
      <c r="BA38" s="7"/>
      <c r="BF38" s="7"/>
      <c r="BK38" s="7"/>
    </row>
    <row r="39" spans="1:63" ht="12.75" customHeight="1" x14ac:dyDescent="0.2">
      <c r="A39" s="1">
        <v>2016</v>
      </c>
      <c r="B39" s="1">
        <v>392</v>
      </c>
      <c r="C39" s="1">
        <v>107</v>
      </c>
      <c r="D39" s="1">
        <f t="shared" si="0"/>
        <v>499</v>
      </c>
      <c r="E39" s="11">
        <f t="shared" si="6"/>
        <v>3833</v>
      </c>
      <c r="F39" s="4"/>
      <c r="G39" s="14">
        <f t="shared" si="7"/>
        <v>639</v>
      </c>
      <c r="H39" s="1">
        <v>2246</v>
      </c>
      <c r="I39" s="1">
        <v>948</v>
      </c>
      <c r="J39" s="1">
        <f>3657-H39</f>
        <v>1411</v>
      </c>
      <c r="K39" s="1">
        <f>1188-I39</f>
        <v>240</v>
      </c>
      <c r="L39" s="7">
        <f t="shared" si="3"/>
        <v>3194</v>
      </c>
      <c r="M39" s="23">
        <f t="shared" si="9"/>
        <v>1651</v>
      </c>
      <c r="N39" s="7">
        <v>271.43748438833984</v>
      </c>
      <c r="O39" s="7">
        <v>3457.1106044664784</v>
      </c>
      <c r="P39" s="7" t="s">
        <v>29</v>
      </c>
      <c r="Q39" s="33" t="s">
        <v>51</v>
      </c>
      <c r="R39" s="5" t="s">
        <v>33</v>
      </c>
      <c r="S39" s="7" t="s">
        <v>52</v>
      </c>
      <c r="T39" s="5" t="s">
        <v>34</v>
      </c>
      <c r="U39" s="5"/>
      <c r="V39" s="7"/>
      <c r="W39" s="7"/>
      <c r="X39" s="7"/>
      <c r="Y39" s="7"/>
      <c r="Z39" s="7"/>
      <c r="AA39" s="8"/>
      <c r="AB39" s="8"/>
      <c r="AC39" s="8"/>
      <c r="AD39" s="8"/>
      <c r="AE39" s="8"/>
      <c r="AF39" s="7"/>
      <c r="AG39" s="7"/>
      <c r="AH39" s="7"/>
      <c r="AI39" s="7"/>
      <c r="AJ39" s="7"/>
      <c r="AK39" s="7"/>
      <c r="AN39" s="7"/>
      <c r="AO39" s="7"/>
      <c r="AP39" s="7"/>
      <c r="AQ39" s="7"/>
      <c r="AR39" s="7"/>
      <c r="AS39" s="7"/>
      <c r="AU39" s="7"/>
      <c r="AW39" s="7"/>
      <c r="AY39" s="7"/>
      <c r="BA39" s="7"/>
      <c r="BF39" s="7"/>
      <c r="BK39" s="7"/>
    </row>
    <row r="40" spans="1:63" ht="12.75" customHeight="1" x14ac:dyDescent="0.2">
      <c r="A40" s="1">
        <v>2017</v>
      </c>
      <c r="B40" s="1">
        <v>358</v>
      </c>
      <c r="C40" s="1">
        <v>180</v>
      </c>
      <c r="D40" s="1">
        <f t="shared" si="0"/>
        <v>538</v>
      </c>
      <c r="E40" s="11">
        <f t="shared" si="6"/>
        <v>1488</v>
      </c>
      <c r="F40" s="4"/>
      <c r="G40" s="14">
        <f t="shared" si="7"/>
        <v>248</v>
      </c>
      <c r="H40" s="1">
        <v>619</v>
      </c>
      <c r="I40" s="1">
        <v>621</v>
      </c>
      <c r="J40" s="1">
        <f>808-H40</f>
        <v>189</v>
      </c>
      <c r="K40" s="1">
        <f>1341-I40</f>
        <v>720</v>
      </c>
      <c r="L40" s="7">
        <f>SUM(F40,H40,I40)</f>
        <v>1240</v>
      </c>
      <c r="M40" s="23">
        <f t="shared" si="9"/>
        <v>909</v>
      </c>
      <c r="N40" s="7">
        <v>802.12138508513249</v>
      </c>
      <c r="O40" s="7">
        <v>3814</v>
      </c>
      <c r="P40" s="7" t="s">
        <v>29</v>
      </c>
      <c r="Q40" s="30" t="s">
        <v>37</v>
      </c>
      <c r="R40" s="5" t="s">
        <v>33</v>
      </c>
      <c r="S40" s="7" t="s">
        <v>52</v>
      </c>
      <c r="T40" s="5" t="s">
        <v>34</v>
      </c>
      <c r="U40" s="5"/>
      <c r="V40" s="7"/>
      <c r="W40" s="7"/>
      <c r="X40" s="7"/>
      <c r="Y40" s="7"/>
      <c r="Z40" s="7"/>
      <c r="AA40" s="8"/>
      <c r="AB40" s="8"/>
      <c r="AC40" s="8"/>
      <c r="AD40" s="8"/>
      <c r="AE40" s="8"/>
      <c r="AF40" s="7"/>
      <c r="AG40" s="7"/>
      <c r="AH40" s="7"/>
      <c r="AI40" s="7"/>
      <c r="AJ40" s="7"/>
      <c r="AK40" s="7"/>
      <c r="AN40" s="7"/>
      <c r="AO40" s="7"/>
      <c r="AP40" s="7"/>
      <c r="AQ40" s="7"/>
      <c r="AR40" s="7"/>
      <c r="AS40" s="7"/>
      <c r="AU40" s="7"/>
      <c r="AW40" s="7"/>
      <c r="AY40" s="7"/>
      <c r="BA40" s="7"/>
      <c r="BF40" s="7"/>
      <c r="BK40" s="7"/>
    </row>
    <row r="41" spans="1:63" ht="12.75" customHeight="1" x14ac:dyDescent="0.2">
      <c r="A41" s="1">
        <v>2018</v>
      </c>
      <c r="B41" s="1">
        <v>457</v>
      </c>
      <c r="C41" s="1">
        <v>73</v>
      </c>
      <c r="D41" s="1">
        <f t="shared" si="0"/>
        <v>530</v>
      </c>
      <c r="E41" s="11">
        <f t="shared" si="6"/>
        <v>0</v>
      </c>
      <c r="F41" s="4"/>
      <c r="G41" s="14">
        <f t="shared" ref="G41:G47" si="10">ROUND(0.2*SUM(F41,H41,I41),0)</f>
        <v>0</v>
      </c>
      <c r="H41" s="1">
        <v>0</v>
      </c>
      <c r="I41" s="1">
        <v>0</v>
      </c>
      <c r="J41" s="1">
        <v>0</v>
      </c>
      <c r="K41" s="1">
        <v>0</v>
      </c>
      <c r="L41" s="7">
        <f t="shared" si="3"/>
        <v>0</v>
      </c>
      <c r="M41" s="23">
        <f t="shared" si="9"/>
        <v>0</v>
      </c>
      <c r="N41" s="7">
        <v>1029.8845799671176</v>
      </c>
      <c r="O41" s="7">
        <v>4209</v>
      </c>
      <c r="P41" s="7" t="s">
        <v>29</v>
      </c>
      <c r="Q41" s="33" t="s">
        <v>45</v>
      </c>
      <c r="R41" s="5" t="s">
        <v>45</v>
      </c>
      <c r="S41" s="7" t="s">
        <v>52</v>
      </c>
      <c r="T41" s="5"/>
      <c r="U41" s="5"/>
      <c r="V41" s="7"/>
      <c r="W41" s="7"/>
      <c r="X41" s="7"/>
      <c r="Y41" s="7"/>
      <c r="Z41" s="7"/>
      <c r="AA41" s="8"/>
      <c r="AB41" s="8"/>
      <c r="AC41" s="8"/>
      <c r="AD41" s="8"/>
      <c r="AE41" s="8"/>
      <c r="AF41" s="7"/>
      <c r="AG41" s="7"/>
      <c r="AH41" s="7"/>
      <c r="AI41" s="7"/>
      <c r="AJ41" s="7"/>
      <c r="AK41" s="7"/>
      <c r="AN41" s="7"/>
      <c r="AO41" s="7"/>
      <c r="AP41" s="7"/>
      <c r="AQ41" s="7"/>
      <c r="AR41" s="7"/>
      <c r="AS41" s="7"/>
      <c r="AU41" s="7"/>
      <c r="AW41" s="7"/>
      <c r="AY41" s="7"/>
      <c r="BA41" s="7"/>
      <c r="BF41" s="7"/>
      <c r="BK41" s="7"/>
    </row>
    <row r="42" spans="1:63" ht="12.75" customHeight="1" x14ac:dyDescent="0.2">
      <c r="A42" s="1">
        <v>2019</v>
      </c>
      <c r="B42" s="1">
        <v>387</v>
      </c>
      <c r="C42" s="1">
        <v>86</v>
      </c>
      <c r="D42" s="1">
        <f t="shared" si="0"/>
        <v>473</v>
      </c>
      <c r="E42" s="11">
        <f>SUM(F42:I42)</f>
        <v>914</v>
      </c>
      <c r="F42" s="4"/>
      <c r="G42" s="14">
        <f>ROUND(0.2*SUM(F42,H42,I42),0)</f>
        <v>152</v>
      </c>
      <c r="H42" s="1">
        <v>516</v>
      </c>
      <c r="I42" s="1">
        <v>246</v>
      </c>
      <c r="J42" s="1">
        <f>537-H42</f>
        <v>21</v>
      </c>
      <c r="K42" s="1">
        <f>366-I42</f>
        <v>120</v>
      </c>
      <c r="L42" s="7">
        <f t="shared" si="3"/>
        <v>762</v>
      </c>
      <c r="M42" s="23">
        <f t="shared" si="9"/>
        <v>141</v>
      </c>
      <c r="N42" s="7">
        <v>458.42273579665135</v>
      </c>
      <c r="O42" s="7">
        <v>4671</v>
      </c>
      <c r="P42" s="7" t="s">
        <v>29</v>
      </c>
      <c r="Q42" s="30" t="s">
        <v>36</v>
      </c>
      <c r="R42" s="5" t="s">
        <v>33</v>
      </c>
      <c r="S42" s="7" t="s">
        <v>52</v>
      </c>
      <c r="T42" s="5"/>
      <c r="U42" s="5"/>
      <c r="V42" s="7"/>
      <c r="W42" s="7"/>
      <c r="X42" s="7"/>
      <c r="Y42" s="7"/>
      <c r="Z42" s="7"/>
      <c r="AA42" s="8"/>
      <c r="AB42" s="8"/>
      <c r="AC42" s="8"/>
      <c r="AD42" s="8"/>
      <c r="AE42" s="8"/>
      <c r="AF42" s="7"/>
      <c r="AG42" s="7"/>
      <c r="AH42" s="7"/>
      <c r="AI42" s="7"/>
      <c r="AJ42" s="7"/>
      <c r="AK42" s="7"/>
      <c r="AN42" s="7"/>
      <c r="AO42" s="7"/>
      <c r="AP42" s="7"/>
      <c r="AQ42" s="7"/>
      <c r="AR42" s="7"/>
      <c r="AS42" s="7"/>
      <c r="AU42" s="7"/>
      <c r="AW42" s="7"/>
      <c r="AY42" s="7"/>
      <c r="BA42" s="7"/>
      <c r="BF42" s="7"/>
      <c r="BK42" s="7"/>
    </row>
    <row r="43" spans="1:63" ht="12.75" customHeight="1" x14ac:dyDescent="0.2">
      <c r="A43" s="1">
        <v>2020</v>
      </c>
      <c r="B43" s="1">
        <v>363</v>
      </c>
      <c r="C43" s="1">
        <v>187</v>
      </c>
      <c r="D43" s="1">
        <f t="shared" si="0"/>
        <v>550</v>
      </c>
      <c r="E43" s="11">
        <f>SUM(F43:I43)</f>
        <v>1288</v>
      </c>
      <c r="F43" s="4"/>
      <c r="G43" s="14">
        <f>ROUND(0.2*SUM(F43,H43,I43),0)</f>
        <v>215</v>
      </c>
      <c r="H43" s="1">
        <v>535</v>
      </c>
      <c r="I43" s="1">
        <v>538</v>
      </c>
      <c r="J43" s="1">
        <f>605-H43</f>
        <v>70</v>
      </c>
      <c r="K43" s="1">
        <f>920-I43</f>
        <v>382</v>
      </c>
      <c r="L43" s="7">
        <f>SUM(F43,H43,I43)</f>
        <v>1073</v>
      </c>
      <c r="M43" s="23">
        <f t="shared" si="9"/>
        <v>452</v>
      </c>
      <c r="N43" s="7">
        <v>507.8023032558001</v>
      </c>
      <c r="O43" s="7">
        <v>3932</v>
      </c>
      <c r="P43" s="7" t="s">
        <v>29</v>
      </c>
      <c r="Q43" s="30" t="s">
        <v>38</v>
      </c>
      <c r="R43" s="5" t="s">
        <v>33</v>
      </c>
      <c r="S43" s="7" t="s">
        <v>52</v>
      </c>
      <c r="T43" s="5"/>
      <c r="U43" s="5"/>
      <c r="V43" s="7"/>
      <c r="W43" s="7"/>
      <c r="X43" s="7"/>
      <c r="Y43" s="7"/>
      <c r="Z43" s="7"/>
      <c r="AA43" s="8"/>
      <c r="AB43" s="8"/>
      <c r="AC43" s="8"/>
      <c r="AD43" s="8"/>
      <c r="AE43" s="8"/>
      <c r="AF43" s="7"/>
      <c r="AG43" s="7"/>
      <c r="AH43" s="7"/>
      <c r="AI43" s="7"/>
      <c r="AJ43" s="7"/>
      <c r="AK43" s="7"/>
      <c r="AN43" s="7"/>
      <c r="AO43" s="7"/>
      <c r="AP43" s="7"/>
      <c r="AQ43" s="7"/>
      <c r="AR43" s="7"/>
      <c r="AS43" s="7"/>
      <c r="AU43" s="7"/>
      <c r="AW43" s="7"/>
      <c r="AY43" s="7"/>
      <c r="BA43" s="7"/>
      <c r="BF43" s="7"/>
      <c r="BK43" s="7"/>
    </row>
    <row r="44" spans="1:63" ht="12.75" customHeight="1" x14ac:dyDescent="0.2">
      <c r="A44" s="1">
        <v>2021</v>
      </c>
      <c r="B44" s="1">
        <v>320</v>
      </c>
      <c r="C44" s="1">
        <v>162</v>
      </c>
      <c r="D44" s="1">
        <v>482</v>
      </c>
      <c r="E44" s="11">
        <f>SUM(F44:I44)</f>
        <v>0</v>
      </c>
      <c r="F44" s="11"/>
      <c r="G44" s="14">
        <f t="shared" si="10"/>
        <v>0</v>
      </c>
      <c r="H44" s="1">
        <v>0</v>
      </c>
      <c r="I44" s="1">
        <v>0</v>
      </c>
      <c r="J44" s="1">
        <f>0-H44</f>
        <v>0</v>
      </c>
      <c r="K44" s="1">
        <f>380-I44</f>
        <v>380</v>
      </c>
      <c r="L44" s="7">
        <f t="shared" ref="L44:L48" si="11">SUM(F44,H44,I44)</f>
        <v>0</v>
      </c>
      <c r="M44" s="23">
        <f t="shared" si="9"/>
        <v>380</v>
      </c>
      <c r="N44" s="7">
        <v>256.38768738652419</v>
      </c>
      <c r="O44" s="7">
        <v>3801.7564016744309</v>
      </c>
      <c r="P44" s="5"/>
      <c r="Q44" s="32" t="s">
        <v>39</v>
      </c>
      <c r="R44" s="5" t="s">
        <v>33</v>
      </c>
      <c r="S44" s="7" t="s">
        <v>52</v>
      </c>
      <c r="T44" s="5"/>
      <c r="U44" s="5"/>
      <c r="V44" s="7"/>
      <c r="W44" s="7"/>
      <c r="X44" s="7"/>
      <c r="Y44" s="7"/>
      <c r="Z44" s="7"/>
      <c r="AA44" s="8"/>
      <c r="AB44" s="8"/>
      <c r="AC44" s="8"/>
      <c r="AD44" s="8"/>
      <c r="AE44" s="8"/>
      <c r="AF44" s="7"/>
      <c r="AG44" s="7"/>
      <c r="AH44" s="7"/>
      <c r="AI44" s="7"/>
      <c r="AJ44" s="7"/>
      <c r="AK44" s="7"/>
      <c r="AN44" s="7"/>
      <c r="AO44" s="7"/>
      <c r="AP44" s="7"/>
      <c r="AQ44" s="7"/>
      <c r="AR44" s="7"/>
      <c r="AS44" s="7"/>
      <c r="AU44" s="7"/>
      <c r="AW44" s="7"/>
      <c r="AY44" s="7"/>
      <c r="BA44" s="7"/>
      <c r="BF44" s="7"/>
      <c r="BK44" s="7"/>
    </row>
    <row r="45" spans="1:63" ht="12.75" customHeight="1" x14ac:dyDescent="0.2">
      <c r="A45" s="1">
        <v>2022</v>
      </c>
      <c r="B45" s="1">
        <v>672</v>
      </c>
      <c r="C45" s="1">
        <v>231</v>
      </c>
      <c r="D45" s="1">
        <v>903</v>
      </c>
      <c r="E45" s="11">
        <f>SUM(F45:I45)</f>
        <v>0</v>
      </c>
      <c r="F45" s="11"/>
      <c r="G45" s="14">
        <f t="shared" si="10"/>
        <v>0</v>
      </c>
      <c r="H45" s="1">
        <v>0</v>
      </c>
      <c r="I45" s="1">
        <v>0</v>
      </c>
      <c r="J45" s="1">
        <f>73-H45</f>
        <v>73</v>
      </c>
      <c r="K45" s="1">
        <f>274-I45</f>
        <v>274</v>
      </c>
      <c r="L45" s="7">
        <f t="shared" si="11"/>
        <v>0</v>
      </c>
      <c r="M45" s="23">
        <f t="shared" si="9"/>
        <v>347</v>
      </c>
      <c r="N45" s="7">
        <v>360.96238288924758</v>
      </c>
      <c r="O45" s="7">
        <v>2959.9180100198664</v>
      </c>
      <c r="P45" s="5"/>
      <c r="Q45" s="32" t="s">
        <v>41</v>
      </c>
      <c r="R45" s="5" t="s">
        <v>33</v>
      </c>
      <c r="S45" s="7" t="s">
        <v>52</v>
      </c>
      <c r="T45" s="5"/>
      <c r="U45" s="5"/>
      <c r="V45" s="7"/>
      <c r="W45" s="7"/>
      <c r="X45" s="7"/>
      <c r="Y45" s="7"/>
      <c r="Z45" s="7"/>
      <c r="AA45" s="8"/>
      <c r="AB45" s="8"/>
      <c r="AC45" s="8"/>
      <c r="AD45" s="8"/>
      <c r="AE45" s="8"/>
      <c r="AF45" s="7"/>
      <c r="AG45" s="7"/>
      <c r="AH45" s="7"/>
      <c r="AI45" s="7"/>
      <c r="AJ45" s="7"/>
      <c r="AK45" s="7"/>
      <c r="AN45" s="7"/>
      <c r="AO45" s="7"/>
      <c r="AP45" s="7"/>
      <c r="AQ45" s="7"/>
      <c r="AR45" s="7"/>
      <c r="AS45" s="7"/>
      <c r="AU45" s="7"/>
      <c r="AW45" s="7"/>
      <c r="AY45" s="7"/>
      <c r="BA45" s="7"/>
      <c r="BF45" s="7"/>
      <c r="BK45" s="7"/>
    </row>
    <row r="46" spans="1:63" ht="12.75" customHeight="1" x14ac:dyDescent="0.2">
      <c r="A46" s="1">
        <v>2023</v>
      </c>
      <c r="B46" s="1">
        <v>392</v>
      </c>
      <c r="C46" s="1">
        <v>254</v>
      </c>
      <c r="D46" s="1">
        <v>646</v>
      </c>
      <c r="E46" s="11">
        <f t="shared" ref="E46:E48" si="12">SUM(F46:I46)</f>
        <v>85</v>
      </c>
      <c r="F46" s="11"/>
      <c r="G46" s="14">
        <f>ROUND(0.2*SUM(F46,H46,I46),0)</f>
        <v>14</v>
      </c>
      <c r="H46" s="1">
        <v>71</v>
      </c>
      <c r="I46" s="1">
        <v>0</v>
      </c>
      <c r="J46" s="1">
        <f>277-H46</f>
        <v>206</v>
      </c>
      <c r="K46" s="1">
        <f>52-I46</f>
        <v>52</v>
      </c>
      <c r="L46" s="7">
        <f>SUM(F46,H46,I46)</f>
        <v>71</v>
      </c>
      <c r="M46" s="23">
        <f t="shared" si="4"/>
        <v>258</v>
      </c>
      <c r="N46" s="7">
        <v>377.52232980028259</v>
      </c>
      <c r="O46" s="7">
        <v>3713</v>
      </c>
      <c r="P46" s="5"/>
      <c r="Q46" s="32" t="s">
        <v>40</v>
      </c>
      <c r="R46" s="5" t="s">
        <v>33</v>
      </c>
      <c r="S46" s="7" t="s">
        <v>52</v>
      </c>
      <c r="T46" s="5"/>
      <c r="U46" s="5"/>
      <c r="V46" s="7"/>
      <c r="W46" s="7"/>
      <c r="X46" s="7"/>
      <c r="Y46" s="7"/>
      <c r="Z46" s="7"/>
      <c r="AA46" s="8"/>
      <c r="AB46" s="8"/>
      <c r="AC46" s="8"/>
      <c r="AD46" s="8"/>
      <c r="AE46" s="8"/>
      <c r="AF46" s="7"/>
      <c r="AG46" s="7"/>
      <c r="AH46" s="7"/>
      <c r="AI46" s="7"/>
      <c r="AJ46" s="7"/>
      <c r="AK46" s="7"/>
      <c r="AN46" s="7"/>
      <c r="AO46" s="7"/>
      <c r="AP46" s="7"/>
      <c r="AQ46" s="7"/>
      <c r="AR46" s="7"/>
      <c r="AS46" s="7"/>
      <c r="AU46" s="7"/>
      <c r="AW46" s="7"/>
      <c r="AY46" s="7"/>
      <c r="BA46" s="7"/>
      <c r="BF46" s="7"/>
      <c r="BK46" s="7"/>
    </row>
    <row r="47" spans="1:63" ht="12.75" customHeight="1" x14ac:dyDescent="0.2">
      <c r="A47" s="1">
        <v>2024</v>
      </c>
      <c r="B47" s="1">
        <v>283</v>
      </c>
      <c r="C47" s="1">
        <v>199</v>
      </c>
      <c r="D47" s="1">
        <v>482</v>
      </c>
      <c r="E47" s="11">
        <f t="shared" si="12"/>
        <v>1</v>
      </c>
      <c r="F47" s="11"/>
      <c r="G47" s="14">
        <f t="shared" si="10"/>
        <v>0</v>
      </c>
      <c r="H47" s="1">
        <v>1</v>
      </c>
      <c r="I47" s="1">
        <v>0</v>
      </c>
      <c r="J47" s="1">
        <f>17 - H47</f>
        <v>16</v>
      </c>
      <c r="K47" s="1">
        <f>2-I47</f>
        <v>2</v>
      </c>
      <c r="L47" s="7">
        <f t="shared" si="11"/>
        <v>1</v>
      </c>
      <c r="M47" s="23">
        <f t="shared" si="4"/>
        <v>18</v>
      </c>
      <c r="N47" s="7">
        <v>528.62413335868473</v>
      </c>
      <c r="O47" s="7">
        <v>1927</v>
      </c>
      <c r="P47" s="5"/>
      <c r="Q47" s="32" t="s">
        <v>42</v>
      </c>
      <c r="R47" s="5" t="s">
        <v>33</v>
      </c>
      <c r="S47" s="7" t="s">
        <v>52</v>
      </c>
      <c r="T47" s="5"/>
      <c r="U47" s="5"/>
      <c r="V47" s="7"/>
      <c r="W47" s="7"/>
      <c r="X47" s="7"/>
      <c r="Y47" s="7"/>
      <c r="Z47" s="7"/>
      <c r="AA47" s="8"/>
      <c r="AB47" s="8"/>
      <c r="AC47" s="8"/>
      <c r="AD47" s="8"/>
      <c r="AE47" s="8"/>
      <c r="AF47" s="7"/>
      <c r="AG47" s="7"/>
      <c r="AH47" s="7"/>
      <c r="AI47" s="7"/>
      <c r="AJ47" s="7"/>
      <c r="AK47" s="7"/>
      <c r="AN47" s="7"/>
      <c r="AO47" s="7"/>
      <c r="AP47" s="7"/>
      <c r="AQ47" s="7"/>
      <c r="AR47" s="7"/>
      <c r="AS47" s="7"/>
      <c r="AU47" s="7"/>
      <c r="AW47" s="7"/>
      <c r="AY47" s="7"/>
      <c r="BA47" s="7"/>
      <c r="BF47" s="7"/>
      <c r="BK47" s="7"/>
    </row>
    <row r="48" spans="1:63" ht="12.75" customHeight="1" x14ac:dyDescent="0.25">
      <c r="A48" s="1">
        <v>2025</v>
      </c>
      <c r="B48" s="19"/>
      <c r="C48" s="19"/>
      <c r="D48" s="19"/>
      <c r="E48" s="11">
        <f t="shared" si="12"/>
        <v>23</v>
      </c>
      <c r="F48" s="4"/>
      <c r="G48" s="14">
        <f>ROUND(0.2*SUM(F48,H48,I48),0)</f>
        <v>4</v>
      </c>
      <c r="H48" s="1">
        <v>14</v>
      </c>
      <c r="I48" s="1">
        <v>5</v>
      </c>
      <c r="J48" s="1">
        <f>105-H48</f>
        <v>91</v>
      </c>
      <c r="K48" s="1">
        <f>26-I48</f>
        <v>21</v>
      </c>
      <c r="L48" s="7">
        <f t="shared" si="11"/>
        <v>19</v>
      </c>
      <c r="M48" s="23">
        <f>SUM(J48,K48)</f>
        <v>112</v>
      </c>
      <c r="N48" s="35"/>
      <c r="O48">
        <v>3270</v>
      </c>
      <c r="P48" s="5"/>
      <c r="Q48" s="32" t="s">
        <v>43</v>
      </c>
      <c r="R48" s="5" t="s">
        <v>33</v>
      </c>
      <c r="S48" s="34" t="s">
        <v>53</v>
      </c>
      <c r="T48" s="5"/>
      <c r="U48" s="5"/>
      <c r="V48" s="5"/>
      <c r="W48" s="5"/>
      <c r="X48" s="5"/>
      <c r="Y48" s="5"/>
      <c r="Z48" s="5"/>
      <c r="AA48" s="8"/>
      <c r="AB48" s="8"/>
      <c r="AC48" s="8"/>
      <c r="AD48" s="8"/>
      <c r="AE48" s="8"/>
      <c r="AN48" s="7"/>
      <c r="AO48" s="7"/>
      <c r="AP48" s="7"/>
      <c r="AQ48" s="7"/>
      <c r="AR48" s="7"/>
      <c r="AS48" s="7"/>
      <c r="AU48" s="7"/>
      <c r="AW48" s="7"/>
      <c r="AY48" s="7"/>
      <c r="BA48" s="7"/>
      <c r="BF48" s="7"/>
      <c r="BK48" s="7"/>
    </row>
    <row r="49" spans="1:63" ht="12.75" customHeight="1" x14ac:dyDescent="0.25">
      <c r="A49" s="1">
        <v>2026</v>
      </c>
      <c r="B49" s="19"/>
      <c r="C49" s="19"/>
      <c r="D49" s="19"/>
      <c r="E49" s="11"/>
      <c r="F49" s="4"/>
      <c r="G49" s="14"/>
      <c r="L49" s="7"/>
      <c r="M49" s="23"/>
      <c r="N49" s="7"/>
      <c r="O49"/>
      <c r="P49" s="5"/>
      <c r="Q49" s="32"/>
      <c r="R49" s="5"/>
      <c r="S49" s="34"/>
      <c r="T49" s="5"/>
      <c r="U49" s="5"/>
      <c r="V49" s="5"/>
      <c r="W49" s="5"/>
      <c r="X49" s="5"/>
      <c r="Y49" s="5"/>
      <c r="Z49" s="5"/>
      <c r="AA49" s="8"/>
      <c r="AB49" s="8"/>
      <c r="AC49" s="8"/>
      <c r="AD49" s="8"/>
      <c r="AE49" s="8"/>
      <c r="AN49" s="7"/>
      <c r="AO49" s="7"/>
      <c r="AP49" s="7"/>
      <c r="AQ49" s="7"/>
      <c r="AR49" s="7"/>
      <c r="AS49" s="7"/>
      <c r="AU49" s="7"/>
      <c r="AW49" s="7"/>
      <c r="AY49" s="7"/>
      <c r="BA49" s="7"/>
      <c r="BF49" s="7"/>
      <c r="BK49" s="7"/>
    </row>
    <row r="50" spans="1:63" x14ac:dyDescent="0.2">
      <c r="A50" s="1" t="s">
        <v>28</v>
      </c>
      <c r="D50" s="27" t="s">
        <v>14</v>
      </c>
      <c r="E50" s="15" t="s">
        <v>13</v>
      </c>
      <c r="F50" s="4"/>
      <c r="G50" s="4"/>
      <c r="N50" s="13" t="s">
        <v>20</v>
      </c>
      <c r="R50" s="5"/>
      <c r="S50" s="5"/>
      <c r="AN50" s="7"/>
      <c r="AO50" s="7"/>
      <c r="AP50" s="7"/>
      <c r="AQ50" s="7"/>
      <c r="AR50" s="7"/>
      <c r="AS50" s="7"/>
      <c r="AU50" s="7"/>
      <c r="AW50" s="7"/>
      <c r="AY50" s="7"/>
      <c r="BA50" s="7"/>
      <c r="BF50" s="7"/>
      <c r="BK50" s="7"/>
    </row>
    <row r="51" spans="1:63" x14ac:dyDescent="0.2">
      <c r="E51" s="16" t="s">
        <v>18</v>
      </c>
      <c r="F51" s="4"/>
      <c r="G51" s="4"/>
      <c r="R51" s="5"/>
      <c r="S51" s="5"/>
      <c r="AN51" s="7"/>
      <c r="AO51" s="7"/>
      <c r="AP51" s="7"/>
      <c r="AQ51" s="7"/>
      <c r="AR51" s="7"/>
      <c r="AS51" s="7"/>
      <c r="AU51" s="7"/>
      <c r="AW51" s="7"/>
      <c r="AY51" s="7"/>
      <c r="BA51" s="7"/>
      <c r="BF51" s="7"/>
      <c r="BK51" s="7"/>
    </row>
    <row r="52" spans="1:63" x14ac:dyDescent="0.2">
      <c r="B52" s="27"/>
      <c r="C52" s="27"/>
      <c r="D52" s="27"/>
      <c r="E52" s="10" t="s">
        <v>15</v>
      </c>
      <c r="S52" s="34"/>
      <c r="AN52" s="7"/>
      <c r="AO52" s="7"/>
      <c r="AP52" s="7"/>
      <c r="AQ52" s="7"/>
      <c r="AR52" s="7"/>
      <c r="AS52" s="7"/>
      <c r="AU52" s="7"/>
      <c r="AW52" s="7"/>
      <c r="AY52" s="7"/>
      <c r="BA52" s="7"/>
      <c r="BF52" s="7"/>
      <c r="BK52" s="7"/>
    </row>
    <row r="53" spans="1:63" x14ac:dyDescent="0.2">
      <c r="E53" s="1" t="s">
        <v>16</v>
      </c>
      <c r="AN53" s="7"/>
      <c r="AO53" s="7"/>
      <c r="AP53" s="7"/>
      <c r="AQ53" s="7"/>
      <c r="AR53" s="7"/>
      <c r="AS53" s="7"/>
      <c r="AU53" s="7"/>
      <c r="AW53" s="7"/>
      <c r="AY53" s="7"/>
      <c r="BA53" s="7"/>
      <c r="BF53" s="7"/>
      <c r="BK53" s="7"/>
    </row>
    <row r="54" spans="1:63" x14ac:dyDescent="0.2">
      <c r="E54" s="1" t="s">
        <v>17</v>
      </c>
      <c r="BF54" s="7"/>
      <c r="BK54" s="7"/>
    </row>
    <row r="55" spans="1:63" x14ac:dyDescent="0.2">
      <c r="E55" s="1" t="s">
        <v>19</v>
      </c>
      <c r="BF55" s="7"/>
      <c r="BK55" s="7"/>
    </row>
    <row r="56" spans="1:63" x14ac:dyDescent="0.2">
      <c r="E56" s="1" t="s">
        <v>21</v>
      </c>
      <c r="BF56" s="7"/>
      <c r="BK56" s="7"/>
    </row>
    <row r="57" spans="1:63" x14ac:dyDescent="0.2">
      <c r="E57" s="1" t="s">
        <v>22</v>
      </c>
      <c r="BF57" s="7"/>
      <c r="BK57" s="7"/>
    </row>
    <row r="58" spans="1:63" x14ac:dyDescent="0.2">
      <c r="E58" s="1" t="s">
        <v>23</v>
      </c>
      <c r="BF58" s="7"/>
      <c r="BK58" s="7"/>
    </row>
    <row r="59" spans="1:63" x14ac:dyDescent="0.2">
      <c r="E59" s="17" t="s">
        <v>24</v>
      </c>
      <c r="BF59" s="7"/>
      <c r="BK59" s="7"/>
    </row>
    <row r="60" spans="1:63" x14ac:dyDescent="0.2">
      <c r="E60" s="22" t="s">
        <v>27</v>
      </c>
      <c r="BF60" s="7"/>
      <c r="BK60" s="7"/>
    </row>
    <row r="61" spans="1:63" x14ac:dyDescent="0.2">
      <c r="E61" s="1" t="s">
        <v>30</v>
      </c>
      <c r="BF61" s="7"/>
      <c r="BK61" s="7"/>
    </row>
    <row r="62" spans="1:63" x14ac:dyDescent="0.2">
      <c r="E62" s="1" t="s">
        <v>31</v>
      </c>
      <c r="BF62" s="7"/>
      <c r="BK62" s="7"/>
    </row>
    <row r="63" spans="1:63" x14ac:dyDescent="0.2">
      <c r="BF63" s="7"/>
      <c r="BK63" s="7"/>
    </row>
    <row r="64" spans="1:63" x14ac:dyDescent="0.2">
      <c r="BF64" s="7"/>
      <c r="BK64" s="7"/>
    </row>
    <row r="65" spans="2:63" x14ac:dyDescent="0.2">
      <c r="BF65" s="7"/>
      <c r="BK65" s="7"/>
    </row>
    <row r="66" spans="2:63" x14ac:dyDescent="0.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8"/>
      <c r="N66" s="2"/>
      <c r="O66" s="2"/>
      <c r="P66" s="2"/>
      <c r="Q66" s="2"/>
      <c r="U66" s="3"/>
      <c r="V66" s="3"/>
      <c r="W66" s="3"/>
      <c r="Y66" s="3"/>
      <c r="AK66" s="3"/>
    </row>
    <row r="67" spans="2:63" x14ac:dyDescent="0.2">
      <c r="BF67" s="7"/>
      <c r="BK67" s="7"/>
    </row>
    <row r="68" spans="2:63" x14ac:dyDescent="0.2">
      <c r="BF68" s="7"/>
      <c r="BK68" s="7"/>
    </row>
    <row r="69" spans="2:63" x14ac:dyDescent="0.2">
      <c r="BF69" s="7"/>
      <c r="BK69" s="7"/>
    </row>
    <row r="70" spans="2:63" x14ac:dyDescent="0.2">
      <c r="BF70" s="7"/>
      <c r="BK70" s="7"/>
    </row>
    <row r="71" spans="2:63" x14ac:dyDescent="0.2">
      <c r="BF71" s="7"/>
      <c r="BK71" s="7"/>
    </row>
    <row r="72" spans="2:63" x14ac:dyDescent="0.2">
      <c r="BF72" s="7"/>
      <c r="BK72" s="7"/>
    </row>
    <row r="73" spans="2:63" x14ac:dyDescent="0.2">
      <c r="BF73" s="7"/>
      <c r="BK73" s="7"/>
    </row>
    <row r="74" spans="2:63" x14ac:dyDescent="0.2">
      <c r="BF74" s="7"/>
      <c r="BK74" s="7"/>
    </row>
    <row r="75" spans="2:63" x14ac:dyDescent="0.2">
      <c r="BF75" s="7"/>
      <c r="BK75" s="7"/>
    </row>
    <row r="76" spans="2:63" x14ac:dyDescent="0.2">
      <c r="BF76" s="7"/>
      <c r="BK76" s="7"/>
    </row>
    <row r="77" spans="2:63" x14ac:dyDescent="0.2">
      <c r="BF77" s="7"/>
      <c r="BK77" s="7"/>
    </row>
    <row r="78" spans="2:63" x14ac:dyDescent="0.2">
      <c r="BF78" s="7"/>
      <c r="BK78" s="7"/>
    </row>
    <row r="79" spans="2:63" x14ac:dyDescent="0.2">
      <c r="BF79" s="7"/>
      <c r="BK79" s="7"/>
    </row>
    <row r="80" spans="2:63" x14ac:dyDescent="0.2">
      <c r="BF80" s="7"/>
      <c r="BK80" s="7"/>
    </row>
    <row r="81" spans="58:63" x14ac:dyDescent="0.2">
      <c r="BF81" s="7"/>
      <c r="BK81" s="7"/>
    </row>
    <row r="82" spans="58:63" x14ac:dyDescent="0.2">
      <c r="BF82" s="7"/>
      <c r="BK82" s="7"/>
    </row>
    <row r="83" spans="58:63" x14ac:dyDescent="0.2">
      <c r="BF83" s="7"/>
      <c r="BK83" s="7"/>
    </row>
    <row r="84" spans="58:63" x14ac:dyDescent="0.2">
      <c r="BF84" s="7"/>
      <c r="BK84" s="7"/>
    </row>
    <row r="85" spans="58:63" x14ac:dyDescent="0.2">
      <c r="BF85" s="7"/>
      <c r="BK85" s="7"/>
    </row>
    <row r="86" spans="58:63" x14ac:dyDescent="0.2">
      <c r="BF86" s="7"/>
      <c r="BK86" s="7"/>
    </row>
    <row r="87" spans="58:63" x14ac:dyDescent="0.2">
      <c r="BF87" s="7"/>
      <c r="BK87" s="7"/>
    </row>
    <row r="88" spans="58:63" x14ac:dyDescent="0.2">
      <c r="BF88" s="7"/>
      <c r="BK88" s="7"/>
    </row>
    <row r="89" spans="58:63" x14ac:dyDescent="0.2">
      <c r="BF89" s="7"/>
      <c r="BK89" s="7"/>
    </row>
    <row r="90" spans="58:63" x14ac:dyDescent="0.2">
      <c r="BF90" s="7"/>
      <c r="BK90" s="7"/>
    </row>
    <row r="91" spans="58:63" x14ac:dyDescent="0.2">
      <c r="BF91" s="7"/>
      <c r="BK91" s="7"/>
    </row>
    <row r="92" spans="58:63" x14ac:dyDescent="0.2">
      <c r="BF92" s="7"/>
      <c r="BK92" s="7"/>
    </row>
    <row r="93" spans="58:63" x14ac:dyDescent="0.2">
      <c r="BF93" s="7"/>
      <c r="BK93" s="7"/>
    </row>
    <row r="94" spans="58:63" x14ac:dyDescent="0.2">
      <c r="BF94" s="7"/>
      <c r="BK94" s="7"/>
    </row>
    <row r="95" spans="58:63" x14ac:dyDescent="0.2">
      <c r="BF95" s="7"/>
      <c r="BK95" s="7"/>
    </row>
    <row r="96" spans="58:63" x14ac:dyDescent="0.2">
      <c r="BF96" s="7"/>
      <c r="BK96" s="7"/>
    </row>
    <row r="97" spans="58:63" x14ac:dyDescent="0.2">
      <c r="BF97" s="7"/>
      <c r="BK97" s="7"/>
    </row>
    <row r="98" spans="58:63" x14ac:dyDescent="0.2">
      <c r="BF98" s="7"/>
      <c r="BK98" s="7"/>
    </row>
    <row r="99" spans="58:63" x14ac:dyDescent="0.2">
      <c r="BF99" s="7"/>
      <c r="BK99" s="7"/>
    </row>
    <row r="100" spans="58:63" x14ac:dyDescent="0.2">
      <c r="BF100" s="7"/>
      <c r="BK100" s="7"/>
    </row>
    <row r="101" spans="58:63" x14ac:dyDescent="0.2">
      <c r="BF101" s="7"/>
      <c r="BK101" s="7"/>
    </row>
    <row r="102" spans="58:63" x14ac:dyDescent="0.2">
      <c r="BF102" s="7"/>
      <c r="BK102" s="7"/>
    </row>
    <row r="103" spans="58:63" x14ac:dyDescent="0.2">
      <c r="BF103" s="7"/>
      <c r="BK103" s="7"/>
    </row>
    <row r="104" spans="58:63" x14ac:dyDescent="0.2">
      <c r="BF104" s="7"/>
      <c r="BK104" s="7"/>
    </row>
    <row r="105" spans="58:63" x14ac:dyDescent="0.2">
      <c r="BF105" s="7"/>
      <c r="BK105" s="7"/>
    </row>
    <row r="106" spans="58:63" x14ac:dyDescent="0.2">
      <c r="BF106" s="7"/>
      <c r="BK106" s="7"/>
    </row>
    <row r="107" spans="58:63" x14ac:dyDescent="0.2">
      <c r="BF107" s="7"/>
      <c r="BK107" s="7"/>
    </row>
    <row r="108" spans="58:63" x14ac:dyDescent="0.2">
      <c r="BF108" s="7"/>
      <c r="BK108" s="7"/>
    </row>
    <row r="109" spans="58:63" x14ac:dyDescent="0.2">
      <c r="BF109" s="7"/>
      <c r="BK109" s="7"/>
    </row>
    <row r="110" spans="58:63" x14ac:dyDescent="0.2">
      <c r="BF110" s="7"/>
      <c r="BK110" s="7"/>
    </row>
    <row r="111" spans="58:63" x14ac:dyDescent="0.2">
      <c r="BF111" s="7"/>
      <c r="BK111" s="7"/>
    </row>
    <row r="112" spans="58:63" x14ac:dyDescent="0.2">
      <c r="BF112" s="7"/>
      <c r="BK112" s="7"/>
    </row>
    <row r="113" spans="58:63" x14ac:dyDescent="0.2">
      <c r="BF113" s="7"/>
      <c r="BK113" s="7"/>
    </row>
    <row r="114" spans="58:63" x14ac:dyDescent="0.2">
      <c r="BF114" s="7"/>
      <c r="BK114" s="7"/>
    </row>
    <row r="115" spans="58:63" x14ac:dyDescent="0.2">
      <c r="BF115" s="7"/>
      <c r="BK115" s="7"/>
    </row>
    <row r="116" spans="58:63" x14ac:dyDescent="0.2">
      <c r="BF116" s="7"/>
      <c r="BK116" s="7"/>
    </row>
    <row r="117" spans="58:63" x14ac:dyDescent="0.2">
      <c r="BF117" s="7"/>
      <c r="BK117" s="7"/>
    </row>
    <row r="118" spans="58:63" x14ac:dyDescent="0.2">
      <c r="BF118" s="7"/>
      <c r="BK118" s="7"/>
    </row>
    <row r="119" spans="58:63" x14ac:dyDescent="0.2">
      <c r="BF119" s="7"/>
      <c r="BK119" s="7"/>
    </row>
    <row r="120" spans="58:63" x14ac:dyDescent="0.2">
      <c r="BF120" s="7"/>
      <c r="BK120" s="7"/>
    </row>
    <row r="121" spans="58:63" x14ac:dyDescent="0.2">
      <c r="BF121" s="7"/>
      <c r="BK121" s="7"/>
    </row>
    <row r="122" spans="58:63" x14ac:dyDescent="0.2">
      <c r="BF122" s="7"/>
      <c r="BK122" s="7"/>
    </row>
    <row r="123" spans="58:63" x14ac:dyDescent="0.2">
      <c r="BF123" s="7"/>
      <c r="BK123" s="7"/>
    </row>
    <row r="124" spans="58:63" x14ac:dyDescent="0.2">
      <c r="BF124" s="7"/>
      <c r="BK124" s="7"/>
    </row>
    <row r="125" spans="58:63" x14ac:dyDescent="0.2">
      <c r="BF125" s="7"/>
      <c r="BK125" s="7"/>
    </row>
    <row r="126" spans="58:63" x14ac:dyDescent="0.2">
      <c r="BF126" s="7"/>
      <c r="BK126" s="7"/>
    </row>
    <row r="127" spans="58:63" x14ac:dyDescent="0.2">
      <c r="BF127" s="7"/>
      <c r="BK127" s="7"/>
    </row>
    <row r="128" spans="58:63" x14ac:dyDescent="0.2">
      <c r="BF128" s="7"/>
      <c r="BK128" s="7"/>
    </row>
    <row r="129" spans="58:63" x14ac:dyDescent="0.2">
      <c r="BF129" s="7"/>
      <c r="BK129" s="7"/>
    </row>
    <row r="130" spans="58:63" x14ac:dyDescent="0.2">
      <c r="BF130" s="7"/>
      <c r="BK130" s="7"/>
    </row>
    <row r="131" spans="58:63" x14ac:dyDescent="0.2">
      <c r="BF131" s="7"/>
      <c r="BK131" s="7"/>
    </row>
    <row r="132" spans="58:63" x14ac:dyDescent="0.2">
      <c r="BF132" s="7"/>
      <c r="BK132" s="7"/>
    </row>
    <row r="133" spans="58:63" x14ac:dyDescent="0.2">
      <c r="BF133" s="7"/>
      <c r="BK133" s="7"/>
    </row>
    <row r="134" spans="58:63" x14ac:dyDescent="0.2">
      <c r="BF134" s="7"/>
      <c r="BK134" s="7"/>
    </row>
    <row r="135" spans="58:63" x14ac:dyDescent="0.2">
      <c r="BF135" s="7"/>
      <c r="BK135" s="7"/>
    </row>
    <row r="136" spans="58:63" x14ac:dyDescent="0.2">
      <c r="BF136" s="7"/>
      <c r="BK136" s="7"/>
    </row>
    <row r="137" spans="58:63" x14ac:dyDescent="0.2">
      <c r="BF137" s="7"/>
      <c r="BK137" s="7"/>
    </row>
    <row r="138" spans="58:63" x14ac:dyDescent="0.2">
      <c r="BF138" s="7"/>
      <c r="BK138" s="7"/>
    </row>
    <row r="139" spans="58:63" x14ac:dyDescent="0.2">
      <c r="BF139" s="7"/>
      <c r="BK139" s="7"/>
    </row>
    <row r="140" spans="58:63" x14ac:dyDescent="0.2">
      <c r="BF140" s="7"/>
      <c r="BK140" s="7"/>
    </row>
    <row r="141" spans="58:63" x14ac:dyDescent="0.2">
      <c r="BF141" s="7"/>
      <c r="BK141" s="7"/>
    </row>
    <row r="142" spans="58:63" x14ac:dyDescent="0.2">
      <c r="BF142" s="7"/>
      <c r="BK142" s="7"/>
    </row>
    <row r="143" spans="58:63" x14ac:dyDescent="0.2">
      <c r="BF143" s="7"/>
      <c r="BK143" s="7"/>
    </row>
    <row r="144" spans="58:63" x14ac:dyDescent="0.2">
      <c r="BF144" s="7"/>
      <c r="BK144" s="7"/>
    </row>
    <row r="145" spans="58:63" x14ac:dyDescent="0.2">
      <c r="BF145" s="7"/>
      <c r="BK145" s="7"/>
    </row>
    <row r="146" spans="58:63" x14ac:dyDescent="0.2">
      <c r="BF146" s="7"/>
      <c r="BK146" s="7"/>
    </row>
    <row r="147" spans="58:63" x14ac:dyDescent="0.2">
      <c r="BF147" s="7"/>
      <c r="BK147" s="7"/>
    </row>
    <row r="148" spans="58:63" x14ac:dyDescent="0.2">
      <c r="BF148" s="7"/>
      <c r="BK148" s="7"/>
    </row>
    <row r="149" spans="58:63" x14ac:dyDescent="0.2">
      <c r="BF149" s="7"/>
      <c r="BK149" s="7"/>
    </row>
    <row r="150" spans="58:63" x14ac:dyDescent="0.2">
      <c r="BF150" s="7"/>
      <c r="BK150" s="7"/>
    </row>
    <row r="151" spans="58:63" x14ac:dyDescent="0.2">
      <c r="BF151" s="7"/>
      <c r="BK151" s="7"/>
    </row>
    <row r="152" spans="58:63" x14ac:dyDescent="0.2">
      <c r="BF152" s="7"/>
      <c r="BK152" s="7"/>
    </row>
    <row r="153" spans="58:63" x14ac:dyDescent="0.2">
      <c r="BF153" s="7"/>
      <c r="BK153" s="7"/>
    </row>
    <row r="154" spans="58:63" x14ac:dyDescent="0.2">
      <c r="BF154" s="7"/>
      <c r="BK154" s="7"/>
    </row>
    <row r="155" spans="58:63" x14ac:dyDescent="0.2">
      <c r="BF155" s="7"/>
      <c r="BK155" s="7"/>
    </row>
    <row r="156" spans="58:63" x14ac:dyDescent="0.2">
      <c r="BF156" s="7"/>
      <c r="BK156" s="7"/>
    </row>
    <row r="157" spans="58:63" x14ac:dyDescent="0.2">
      <c r="BF157" s="7"/>
      <c r="BK157" s="7"/>
    </row>
    <row r="158" spans="58:63" x14ac:dyDescent="0.2">
      <c r="BF158" s="7"/>
      <c r="BK158" s="7"/>
    </row>
    <row r="159" spans="58:63" x14ac:dyDescent="0.2">
      <c r="BF159" s="7"/>
      <c r="BK159" s="7"/>
    </row>
    <row r="160" spans="58:63" x14ac:dyDescent="0.2">
      <c r="BF160" s="7"/>
      <c r="BK160" s="7"/>
    </row>
    <row r="161" spans="58:63" x14ac:dyDescent="0.2">
      <c r="BF161" s="7"/>
      <c r="BK161" s="7"/>
    </row>
    <row r="162" spans="58:63" x14ac:dyDescent="0.2">
      <c r="BF162" s="7"/>
      <c r="BK162" s="7"/>
    </row>
    <row r="163" spans="58:63" x14ac:dyDescent="0.2">
      <c r="BF163" s="7"/>
      <c r="BK163" s="7"/>
    </row>
    <row r="164" spans="58:63" x14ac:dyDescent="0.2">
      <c r="BF164" s="7"/>
      <c r="BK164" s="7"/>
    </row>
    <row r="165" spans="58:63" x14ac:dyDescent="0.2">
      <c r="BF165" s="7"/>
      <c r="BK165" s="7"/>
    </row>
    <row r="166" spans="58:63" x14ac:dyDescent="0.2">
      <c r="BF166" s="7"/>
      <c r="BK166" s="7"/>
    </row>
    <row r="167" spans="58:63" x14ac:dyDescent="0.2">
      <c r="BF167" s="7"/>
      <c r="BK167" s="7"/>
    </row>
    <row r="168" spans="58:63" x14ac:dyDescent="0.2">
      <c r="BF168" s="7"/>
      <c r="BK168" s="7"/>
    </row>
    <row r="169" spans="58:63" x14ac:dyDescent="0.2">
      <c r="BF169" s="7"/>
      <c r="BK169" s="7"/>
    </row>
    <row r="170" spans="58:63" x14ac:dyDescent="0.2">
      <c r="BF170" s="7"/>
      <c r="BK170" s="7"/>
    </row>
    <row r="171" spans="58:63" x14ac:dyDescent="0.2">
      <c r="BF171" s="7"/>
    </row>
    <row r="172" spans="58:63" x14ac:dyDescent="0.2">
      <c r="BF172" s="7"/>
    </row>
    <row r="173" spans="58:63" x14ac:dyDescent="0.2">
      <c r="BF173" s="7"/>
    </row>
    <row r="174" spans="58:63" x14ac:dyDescent="0.2">
      <c r="BF174" s="7"/>
    </row>
    <row r="175" spans="58:63" x14ac:dyDescent="0.2">
      <c r="BF175" s="7"/>
    </row>
    <row r="176" spans="58:63" x14ac:dyDescent="0.2">
      <c r="BF176" s="7"/>
    </row>
    <row r="177" spans="58:58" x14ac:dyDescent="0.2">
      <c r="BF177" s="7"/>
    </row>
    <row r="178" spans="58:58" x14ac:dyDescent="0.2">
      <c r="BF178" s="7"/>
    </row>
    <row r="179" spans="58:58" x14ac:dyDescent="0.2">
      <c r="BF179" s="7"/>
    </row>
    <row r="180" spans="58:58" x14ac:dyDescent="0.2">
      <c r="BF180" s="7"/>
    </row>
    <row r="181" spans="58:58" x14ac:dyDescent="0.2">
      <c r="BF181" s="7"/>
    </row>
    <row r="182" spans="58:58" x14ac:dyDescent="0.2">
      <c r="BF182" s="7"/>
    </row>
    <row r="183" spans="58:58" x14ac:dyDescent="0.2">
      <c r="BF183" s="7"/>
    </row>
    <row r="184" spans="58:58" x14ac:dyDescent="0.2">
      <c r="BF184" s="7"/>
    </row>
    <row r="185" spans="58:58" x14ac:dyDescent="0.2">
      <c r="BF185" s="7"/>
    </row>
    <row r="186" spans="58:58" x14ac:dyDescent="0.2">
      <c r="BF186" s="7"/>
    </row>
    <row r="187" spans="58:58" x14ac:dyDescent="0.2">
      <c r="BF187" s="7"/>
    </row>
    <row r="188" spans="58:58" x14ac:dyDescent="0.2">
      <c r="BF188" s="7"/>
    </row>
    <row r="189" spans="58:58" x14ac:dyDescent="0.2">
      <c r="BF189" s="7"/>
    </row>
    <row r="190" spans="58:58" x14ac:dyDescent="0.2">
      <c r="BF190" s="7"/>
    </row>
    <row r="191" spans="58:58" x14ac:dyDescent="0.2">
      <c r="BF191" s="7"/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Warkentin, Luke (he, him / il, lui) (DFO/MPO)</dc:creator>
  <cp:lastModifiedBy>Warkentin, Luke (he, him / il, lui) (DFO/MPO)</cp:lastModifiedBy>
  <dcterms:created xsi:type="dcterms:W3CDTF">2025-05-13T17:46:15Z</dcterms:created>
  <dcterms:modified xsi:type="dcterms:W3CDTF">2026-06-25T21:33:11Z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2026-02-16T18:26:06Z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45eb75d5-5b97-443f-b8de-cf083ca096c8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