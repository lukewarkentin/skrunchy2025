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ithub\skrunchy2025\data-raw\"/>
    </mc:Choice>
  </mc:AlternateContent>
  <xr:revisionPtr revIDLastSave="0" documentId="13_ncr:1_{74FAF949-038B-4AFD-B2BF-E0919C5F05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odified StatWeek" sheetId="1" r:id="rId1"/>
    <sheet name="NumericWeekCount" sheetId="2" r:id="rId2"/>
  </sheets>
  <definedNames>
    <definedName name="_xlnm.Print_Area" localSheetId="1">NumericWeekCount!$A$1:$G$30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D56" i="1" s="1"/>
  <c r="B4" i="2"/>
  <c r="C4" i="2" s="1"/>
  <c r="B5" i="2" s="1"/>
  <c r="G4" i="1" l="1"/>
  <c r="G32" i="1"/>
  <c r="G8" i="1"/>
  <c r="G55" i="1"/>
  <c r="G31" i="1"/>
  <c r="G7" i="1"/>
  <c r="G54" i="1"/>
  <c r="G30" i="1"/>
  <c r="G6" i="1"/>
  <c r="G53" i="1"/>
  <c r="G29" i="1"/>
  <c r="G52" i="1"/>
  <c r="G28" i="1"/>
  <c r="G51" i="1"/>
  <c r="G27" i="1"/>
  <c r="G50" i="1"/>
  <c r="G26" i="1"/>
  <c r="G49" i="1"/>
  <c r="G25" i="1"/>
  <c r="G48" i="1"/>
  <c r="G24" i="1"/>
  <c r="G47" i="1"/>
  <c r="G23" i="1"/>
  <c r="G46" i="1"/>
  <c r="G22" i="1"/>
  <c r="G45" i="1"/>
  <c r="G21" i="1"/>
  <c r="G44" i="1"/>
  <c r="G20" i="1"/>
  <c r="G43" i="1"/>
  <c r="G19" i="1"/>
  <c r="G42" i="1"/>
  <c r="G18" i="1"/>
  <c r="G41" i="1"/>
  <c r="G17" i="1"/>
  <c r="G40" i="1"/>
  <c r="G16" i="1"/>
  <c r="G39" i="1"/>
  <c r="G15" i="1"/>
  <c r="G38" i="1"/>
  <c r="G14" i="1"/>
  <c r="G37" i="1"/>
  <c r="G13" i="1"/>
  <c r="G36" i="1"/>
  <c r="G12" i="1"/>
  <c r="G35" i="1"/>
  <c r="G11" i="1"/>
  <c r="G34" i="1"/>
  <c r="G10" i="1"/>
  <c r="G33" i="1"/>
  <c r="G9" i="1"/>
  <c r="G5" i="1"/>
  <c r="C5" i="2"/>
  <c r="B6" i="2" s="1"/>
  <c r="A5" i="2"/>
  <c r="D4" i="1"/>
  <c r="D41" i="1"/>
  <c r="D25" i="1"/>
  <c r="D9" i="1"/>
  <c r="D53" i="1"/>
  <c r="D37" i="1"/>
  <c r="D21" i="1"/>
  <c r="D5" i="1"/>
  <c r="D49" i="1"/>
  <c r="D33" i="1"/>
  <c r="D17" i="1"/>
  <c r="D45" i="1"/>
  <c r="D29" i="1"/>
  <c r="D13" i="1"/>
  <c r="D52" i="1"/>
  <c r="D40" i="1"/>
  <c r="D24" i="1"/>
  <c r="D16" i="1"/>
  <c r="D8" i="1"/>
  <c r="D48" i="1"/>
  <c r="D44" i="1"/>
  <c r="D36" i="1"/>
  <c r="D32" i="1"/>
  <c r="D28" i="1"/>
  <c r="D20" i="1"/>
  <c r="D12" i="1"/>
  <c r="D55" i="1"/>
  <c r="D51" i="1"/>
  <c r="D47" i="1"/>
  <c r="D43" i="1"/>
  <c r="D39" i="1"/>
  <c r="D35" i="1"/>
  <c r="D31" i="1"/>
  <c r="D27" i="1"/>
  <c r="D23" i="1"/>
  <c r="D19" i="1"/>
  <c r="D15" i="1"/>
  <c r="D11" i="1"/>
  <c r="D7" i="1"/>
  <c r="D54" i="1"/>
  <c r="D50" i="1"/>
  <c r="D46" i="1"/>
  <c r="D42" i="1"/>
  <c r="D38" i="1"/>
  <c r="D34" i="1"/>
  <c r="D30" i="1"/>
  <c r="D26" i="1"/>
  <c r="D22" i="1"/>
  <c r="D18" i="1"/>
  <c r="D14" i="1"/>
  <c r="D10" i="1"/>
  <c r="D6" i="1"/>
  <c r="E4" i="1" l="1"/>
  <c r="F5" i="1" s="1"/>
  <c r="F4" i="1"/>
  <c r="C6" i="2"/>
  <c r="B7" i="2" s="1"/>
  <c r="A6" i="2"/>
  <c r="E5" i="1" l="1"/>
  <c r="F6" i="1" s="1"/>
  <c r="A7" i="2"/>
  <c r="C7" i="2"/>
  <c r="B8" i="2" s="1"/>
  <c r="E6" i="1" l="1"/>
  <c r="E7" i="1" s="1"/>
  <c r="E8" i="1" s="1"/>
  <c r="A8" i="2"/>
  <c r="C8" i="2"/>
  <c r="B9" i="2" s="1"/>
  <c r="F7" i="1" l="1"/>
  <c r="F8" i="1"/>
  <c r="E9" i="1"/>
  <c r="F9" i="1"/>
  <c r="C9" i="2"/>
  <c r="B10" i="2" s="1"/>
  <c r="A9" i="2"/>
  <c r="E10" i="1" l="1"/>
  <c r="F10" i="1"/>
  <c r="C10" i="2"/>
  <c r="B11" i="2" s="1"/>
  <c r="A10" i="2"/>
  <c r="E11" i="1" l="1"/>
  <c r="E12" i="1" s="1"/>
  <c r="F11" i="1"/>
  <c r="A11" i="2"/>
  <c r="C11" i="2"/>
  <c r="B12" i="2" s="1"/>
  <c r="F12" i="1" l="1"/>
  <c r="E13" i="1"/>
  <c r="F13" i="1"/>
  <c r="A12" i="2"/>
  <c r="C12" i="2"/>
  <c r="B13" i="2" s="1"/>
  <c r="F14" i="1" l="1"/>
  <c r="E14" i="1"/>
  <c r="C13" i="2"/>
  <c r="B14" i="2" s="1"/>
  <c r="A13" i="2"/>
  <c r="E15" i="1" l="1"/>
  <c r="F15" i="1"/>
  <c r="E16" i="1"/>
  <c r="F16" i="1"/>
  <c r="C14" i="2"/>
  <c r="B15" i="2" s="1"/>
  <c r="A14" i="2"/>
  <c r="E17" i="1" l="1"/>
  <c r="F17" i="1"/>
  <c r="A15" i="2"/>
  <c r="C15" i="2"/>
  <c r="B16" i="2" s="1"/>
  <c r="E18" i="1" l="1"/>
  <c r="F18" i="1"/>
  <c r="A16" i="2"/>
  <c r="C16" i="2"/>
  <c r="B17" i="2" s="1"/>
  <c r="E19" i="1" l="1"/>
  <c r="F19" i="1"/>
  <c r="C17" i="2"/>
  <c r="B18" i="2" s="1"/>
  <c r="A17" i="2"/>
  <c r="E20" i="1" l="1"/>
  <c r="F20" i="1"/>
  <c r="F21" i="1"/>
  <c r="E21" i="1"/>
  <c r="C18" i="2"/>
  <c r="B19" i="2" s="1"/>
  <c r="A18" i="2"/>
  <c r="E22" i="1" l="1"/>
  <c r="F22" i="1"/>
  <c r="A19" i="2"/>
  <c r="C19" i="2"/>
  <c r="B20" i="2" s="1"/>
  <c r="E23" i="1" l="1"/>
  <c r="F23" i="1"/>
  <c r="A20" i="2"/>
  <c r="C20" i="2"/>
  <c r="B21" i="2" s="1"/>
  <c r="E24" i="1" l="1"/>
  <c r="E25" i="1" s="1"/>
  <c r="F24" i="1"/>
  <c r="C21" i="2"/>
  <c r="B22" i="2" s="1"/>
  <c r="A21" i="2"/>
  <c r="F25" i="1" l="1"/>
  <c r="F26" i="1"/>
  <c r="E26" i="1"/>
  <c r="C22" i="2"/>
  <c r="B23" i="2" s="1"/>
  <c r="A22" i="2"/>
  <c r="E27" i="1" l="1"/>
  <c r="F27" i="1"/>
  <c r="A23" i="2"/>
  <c r="C23" i="2"/>
  <c r="B24" i="2" s="1"/>
  <c r="E28" i="1" l="1"/>
  <c r="F28" i="1"/>
  <c r="A24" i="2"/>
  <c r="C24" i="2"/>
  <c r="B25" i="2" s="1"/>
  <c r="E29" i="1" l="1"/>
  <c r="F29" i="1"/>
  <c r="F30" i="1"/>
  <c r="E30" i="1"/>
  <c r="C25" i="2"/>
  <c r="B26" i="2" s="1"/>
  <c r="A25" i="2"/>
  <c r="E31" i="1" l="1"/>
  <c r="F31" i="1"/>
  <c r="C26" i="2"/>
  <c r="B27" i="2" s="1"/>
  <c r="A26" i="2"/>
  <c r="E32" i="1" l="1"/>
  <c r="F32" i="1"/>
  <c r="A27" i="2"/>
  <c r="C27" i="2"/>
  <c r="B28" i="2" s="1"/>
  <c r="E33" i="1" l="1"/>
  <c r="E34" i="1" s="1"/>
  <c r="F33" i="1"/>
  <c r="A28" i="2"/>
  <c r="C28" i="2"/>
  <c r="B29" i="2" s="1"/>
  <c r="F34" i="1" l="1"/>
  <c r="E35" i="1"/>
  <c r="F35" i="1"/>
  <c r="C29" i="2"/>
  <c r="B30" i="2" s="1"/>
  <c r="A29" i="2"/>
  <c r="E36" i="1" l="1"/>
  <c r="F36" i="1"/>
  <c r="C30" i="2"/>
  <c r="F4" i="2" s="1"/>
  <c r="A30" i="2"/>
  <c r="E37" i="1" l="1"/>
  <c r="E38" i="1" s="1"/>
  <c r="F37" i="1"/>
  <c r="E4" i="2"/>
  <c r="G4" i="2"/>
  <c r="F5" i="2" s="1"/>
  <c r="F38" i="1" l="1"/>
  <c r="E39" i="1"/>
  <c r="F39" i="1"/>
  <c r="G5" i="2"/>
  <c r="F6" i="2" s="1"/>
  <c r="E5" i="2"/>
  <c r="E40" i="1" l="1"/>
  <c r="F40" i="1"/>
  <c r="E6" i="2"/>
  <c r="G6" i="2"/>
  <c r="F7" i="2" s="1"/>
  <c r="E41" i="1" l="1"/>
  <c r="E42" i="1" s="1"/>
  <c r="F41" i="1"/>
  <c r="G7" i="2"/>
  <c r="F8" i="2" s="1"/>
  <c r="E7" i="2"/>
  <c r="F42" i="1" l="1"/>
  <c r="F43" i="1"/>
  <c r="E43" i="1"/>
  <c r="E8" i="2"/>
  <c r="G8" i="2"/>
  <c r="F9" i="2" s="1"/>
  <c r="E44" i="1" l="1"/>
  <c r="F44" i="1"/>
  <c r="E9" i="2"/>
  <c r="G9" i="2"/>
  <c r="F10" i="2" s="1"/>
  <c r="E45" i="1" l="1"/>
  <c r="F45" i="1"/>
  <c r="E10" i="2"/>
  <c r="G10" i="2"/>
  <c r="F11" i="2" s="1"/>
  <c r="E46" i="1" l="1"/>
  <c r="E47" i="1" s="1"/>
  <c r="F46" i="1"/>
  <c r="F47" i="1"/>
  <c r="G11" i="2"/>
  <c r="F12" i="2" s="1"/>
  <c r="E11" i="2"/>
  <c r="E48" i="1" l="1"/>
  <c r="F48" i="1"/>
  <c r="E12" i="2"/>
  <c r="G12" i="2"/>
  <c r="F13" i="2" s="1"/>
  <c r="E49" i="1" l="1"/>
  <c r="F49" i="1"/>
  <c r="G13" i="2"/>
  <c r="F14" i="2" s="1"/>
  <c r="E13" i="2"/>
  <c r="E50" i="1" l="1"/>
  <c r="F50" i="1"/>
  <c r="E51" i="1"/>
  <c r="F51" i="1"/>
  <c r="E14" i="2"/>
  <c r="G14" i="2"/>
  <c r="F15" i="2" s="1"/>
  <c r="F52" i="1" l="1"/>
  <c r="E52" i="1"/>
  <c r="G15" i="2"/>
  <c r="F16" i="2" s="1"/>
  <c r="E15" i="2"/>
  <c r="E53" i="1" l="1"/>
  <c r="F53" i="1"/>
  <c r="G16" i="2"/>
  <c r="F17" i="2" s="1"/>
  <c r="E16" i="2"/>
  <c r="E54" i="1" l="1"/>
  <c r="E55" i="1" s="1"/>
  <c r="E56" i="1" s="1"/>
  <c r="F54" i="1"/>
  <c r="E17" i="2"/>
  <c r="G17" i="2"/>
  <c r="F18" i="2" s="1"/>
  <c r="F55" i="1" l="1"/>
  <c r="E18" i="2"/>
  <c r="G18" i="2"/>
  <c r="F19" i="2" s="1"/>
  <c r="G19" i="2" l="1"/>
  <c r="F20" i="2" s="1"/>
  <c r="E19" i="2"/>
  <c r="G20" i="2" l="1"/>
  <c r="F21" i="2" s="1"/>
  <c r="E20" i="2"/>
  <c r="E21" i="2" l="1"/>
  <c r="G21" i="2"/>
  <c r="F22" i="2" s="1"/>
  <c r="E22" i="2" l="1"/>
  <c r="G22" i="2"/>
  <c r="F23" i="2" s="1"/>
  <c r="G23" i="2" l="1"/>
  <c r="F24" i="2" s="1"/>
  <c r="E23" i="2"/>
  <c r="E24" i="2" l="1"/>
  <c r="G24" i="2"/>
  <c r="F25" i="2" s="1"/>
  <c r="G25" i="2" l="1"/>
  <c r="F26" i="2" s="1"/>
  <c r="E25" i="2"/>
  <c r="E26" i="2" l="1"/>
  <c r="G26" i="2"/>
  <c r="F27" i="2" s="1"/>
  <c r="G27" i="2" l="1"/>
  <c r="F28" i="2" s="1"/>
  <c r="E27" i="2"/>
  <c r="E28" i="2" l="1"/>
  <c r="G28" i="2"/>
  <c r="F29" i="2" s="1"/>
  <c r="E29" i="2" l="1"/>
  <c r="G29" i="2"/>
  <c r="F30" i="2" s="1"/>
  <c r="G30" i="2" l="1"/>
  <c r="E30" i="2"/>
</calcChain>
</file>

<file path=xl/sharedStrings.xml><?xml version="1.0" encoding="utf-8"?>
<sst xmlns="http://schemas.openxmlformats.org/spreadsheetml/2006/main" count="14" uniqueCount="13">
  <si>
    <t>Month</t>
  </si>
  <si>
    <t>WeekStart</t>
  </si>
  <si>
    <t>Stat Week</t>
  </si>
  <si>
    <t>Enter Year</t>
  </si>
  <si>
    <t>Do not change</t>
  </si>
  <si>
    <t>CALENDAR STAT. WEEKS</t>
  </si>
  <si>
    <t>Stat. Week</t>
  </si>
  <si>
    <t>Begin
Date</t>
  </si>
  <si>
    <t>End
Date</t>
  </si>
  <si>
    <t>Begin 
Date</t>
  </si>
  <si>
    <t>End 
Date</t>
  </si>
  <si>
    <t>Alaska StatWeek</t>
  </si>
  <si>
    <t>Tyee Statweek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</si>
</sst>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2" xfId="0" applyFont="1" applyFill="1" applyBorder="1"/>
    <xf numFmtId="0" fontId="1" fillId="3" borderId="0" xfId="0" applyFont="1" applyFill="1" applyBorder="1"/>
    <xf numFmtId="0" fontId="0" fillId="3" borderId="0" xfId="0" applyFill="1"/>
    <xf numFmtId="14" fontId="0" fillId="0" borderId="0" xfId="0" applyNumberFormat="1" applyAlignment="1">
      <alignment horizontal="center"/>
    </xf>
    <xf numFmtId="0" fontId="3" fillId="0" borderId="3" xfId="1" applyFont="1" applyBorder="1" applyAlignment="1">
      <alignment horizontal="center"/>
    </xf>
    <xf numFmtId="16" fontId="3" fillId="0" borderId="4" xfId="1" applyNumberFormat="1" applyFont="1" applyBorder="1"/>
    <xf numFmtId="16" fontId="4" fillId="0" borderId="4" xfId="1" applyNumberFormat="1" applyFont="1" applyBorder="1"/>
    <xf numFmtId="0" fontId="4" fillId="0" borderId="4" xfId="1" applyFont="1" applyBorder="1" applyAlignment="1">
      <alignment horizontal="center"/>
    </xf>
    <xf numFmtId="0" fontId="4" fillId="0" borderId="4" xfId="1" applyFont="1" applyBorder="1"/>
    <xf numFmtId="0" fontId="4" fillId="0" borderId="5" xfId="1" applyFont="1" applyBorder="1"/>
    <xf numFmtId="0" fontId="2" fillId="0" borderId="0" xfId="1"/>
    <xf numFmtId="0" fontId="4" fillId="0" borderId="6" xfId="1" applyFont="1" applyBorder="1" applyAlignment="1">
      <alignment horizontal="center"/>
    </xf>
    <xf numFmtId="16" fontId="4" fillId="0" borderId="7" xfId="1" applyNumberFormat="1" applyFont="1" applyBorder="1"/>
    <xf numFmtId="0" fontId="4" fillId="0" borderId="7" xfId="1" applyFont="1" applyBorder="1" applyAlignment="1">
      <alignment horizontal="center"/>
    </xf>
    <xf numFmtId="0" fontId="4" fillId="0" borderId="7" xfId="1" applyFont="1" applyBorder="1"/>
    <xf numFmtId="0" fontId="4" fillId="0" borderId="8" xfId="1" applyFont="1" applyBorder="1"/>
    <xf numFmtId="0" fontId="3" fillId="0" borderId="9" xfId="1" applyFont="1" applyBorder="1" applyAlignment="1">
      <alignment horizontal="center" vertical="center" wrapText="1"/>
    </xf>
    <xf numFmtId="16" fontId="3" fillId="0" borderId="9" xfId="1" applyNumberFormat="1" applyFont="1" applyBorder="1" applyAlignment="1">
      <alignment horizontal="center" vertical="center" wrapText="1"/>
    </xf>
    <xf numFmtId="16" fontId="3" fillId="0" borderId="10" xfId="1" applyNumberFormat="1" applyFont="1" applyBorder="1" applyAlignment="1">
      <alignment horizontal="center" vertical="center"/>
    </xf>
    <xf numFmtId="0" fontId="4" fillId="0" borderId="0" xfId="1" applyFont="1"/>
    <xf numFmtId="0" fontId="3" fillId="0" borderId="11" xfId="1" applyFont="1" applyBorder="1" applyAlignment="1">
      <alignment horizontal="center"/>
    </xf>
    <xf numFmtId="16" fontId="3" fillId="0" borderId="11" xfId="1" applyNumberFormat="1" applyFont="1" applyBorder="1" applyAlignment="1">
      <alignment horizontal="center"/>
    </xf>
    <xf numFmtId="16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16" fontId="2" fillId="0" borderId="0" xfId="1" applyNumberFormat="1"/>
    <xf numFmtId="0" fontId="1" fillId="0" borderId="0" xfId="0" applyFont="1" applyAlignment="1">
      <alignment horizontal="center" wrapText="1"/>
    </xf>
  </cellXfs>
  <cellStyles count="2">
    <cellStyle name="Normal" xfId="0" builtinId="0"/>
    <cellStyle name="Normal 2" xfId="1" xr:uid="{3DE7CFA7-20EA-4958-9D0E-ECC6A3D191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activeCell="A3" sqref="A3"/>
    </sheetView>
  </sheetViews>
  <sheetFormatPr defaultRowHeight="15" x14ac:dyDescent="0.25"/>
  <cols>
    <col min="1" max="1" width="10.140625" bestFit="1" customWidth="1"/>
    <col min="2" max="2" width="0" hidden="1" customWidth="1"/>
    <col min="3" max="3" width="10.7109375" style="1" bestFit="1" customWidth="1"/>
    <col min="4" max="5" width="9.140625" style="1"/>
    <col min="6" max="6" width="8.5703125" style="1" bestFit="1" customWidth="1"/>
    <col min="7" max="7" width="9" style="1" bestFit="1" customWidth="1"/>
  </cols>
  <sheetData>
    <row r="1" spans="1:7" ht="15.75" thickBot="1" x14ac:dyDescent="0.3">
      <c r="A1" s="4" t="s">
        <v>3</v>
      </c>
      <c r="B1" s="5" t="s">
        <v>4</v>
      </c>
    </row>
    <row r="2" spans="1:7" ht="15.75" thickBot="1" x14ac:dyDescent="0.3">
      <c r="A2" s="3">
        <v>2021</v>
      </c>
      <c r="B2" s="6">
        <v>1</v>
      </c>
    </row>
    <row r="3" spans="1:7" ht="30" customHeight="1" x14ac:dyDescent="0.25">
      <c r="C3" s="2" t="s">
        <v>1</v>
      </c>
      <c r="D3" s="2" t="s">
        <v>0</v>
      </c>
      <c r="E3" s="2" t="s">
        <v>2</v>
      </c>
      <c r="F3" s="29" t="s">
        <v>12</v>
      </c>
      <c r="G3" s="29" t="s">
        <v>11</v>
      </c>
    </row>
    <row r="4" spans="1:7" x14ac:dyDescent="0.25">
      <c r="C4" s="7">
        <f>DATE(A2, 1, MOD(7-DATE(A2, 1, 1)+ B2,7)+1)</f>
        <v>44199</v>
      </c>
      <c r="D4" s="1">
        <f>MONTH(C4)</f>
        <v>1</v>
      </c>
      <c r="E4" s="1" t="str">
        <f>D4&amp;"-"&amp;1</f>
        <v>1-1</v>
      </c>
      <c r="F4" s="1" t="str">
        <f>0&amp;D4&amp;1</f>
        <v>011</v>
      </c>
      <c r="G4" s="1">
        <f>WEEKNUM(C4)</f>
        <v>2</v>
      </c>
    </row>
    <row r="5" spans="1:7" x14ac:dyDescent="0.25">
      <c r="C5" s="7">
        <f>C4+7</f>
        <v>44206</v>
      </c>
      <c r="D5" s="1">
        <f t="shared" ref="D5:D56" si="0">MONTH(C5)</f>
        <v>1</v>
      </c>
      <c r="E5" s="1" t="str">
        <f>D5&amp;"-"&amp;IF(D5=D4,RIGHT(E4,1)+1,1)</f>
        <v>1-2</v>
      </c>
      <c r="F5" s="1" t="str">
        <f>0&amp;D5&amp;IF(D5=D4,RIGHT(E4,1)+1,1)</f>
        <v>012</v>
      </c>
      <c r="G5" s="1">
        <f t="shared" ref="G5:G55" si="1">WEEKNUM(C5)</f>
        <v>3</v>
      </c>
    </row>
    <row r="6" spans="1:7" x14ac:dyDescent="0.25">
      <c r="C6" s="7">
        <f t="shared" ref="C6:C55" si="2">C5+7</f>
        <v>44213</v>
      </c>
      <c r="D6" s="1">
        <f t="shared" si="0"/>
        <v>1</v>
      </c>
      <c r="E6" s="1" t="str">
        <f t="shared" ref="E6:E56" si="3">D6&amp;"-"&amp;IF(D6=D5,RIGHT(E5,1)+1,1)</f>
        <v>1-3</v>
      </c>
      <c r="F6" s="1" t="str">
        <f t="shared" ref="F6:F42" si="4">0&amp;D6&amp;IF(D6=D5,RIGHT(E5,1)+1,1)</f>
        <v>013</v>
      </c>
      <c r="G6" s="1">
        <f t="shared" si="1"/>
        <v>4</v>
      </c>
    </row>
    <row r="7" spans="1:7" x14ac:dyDescent="0.25">
      <c r="C7" s="7">
        <f t="shared" si="2"/>
        <v>44220</v>
      </c>
      <c r="D7" s="1">
        <f t="shared" si="0"/>
        <v>1</v>
      </c>
      <c r="E7" s="1" t="str">
        <f t="shared" si="3"/>
        <v>1-4</v>
      </c>
      <c r="F7" s="1" t="str">
        <f t="shared" si="4"/>
        <v>014</v>
      </c>
      <c r="G7" s="1">
        <f t="shared" si="1"/>
        <v>5</v>
      </c>
    </row>
    <row r="8" spans="1:7" x14ac:dyDescent="0.25">
      <c r="C8" s="7">
        <f t="shared" si="2"/>
        <v>44227</v>
      </c>
      <c r="D8" s="1">
        <f t="shared" si="0"/>
        <v>1</v>
      </c>
      <c r="E8" s="1" t="str">
        <f t="shared" si="3"/>
        <v>1-5</v>
      </c>
      <c r="F8" s="1" t="str">
        <f t="shared" si="4"/>
        <v>015</v>
      </c>
      <c r="G8" s="1">
        <f t="shared" si="1"/>
        <v>6</v>
      </c>
    </row>
    <row r="9" spans="1:7" x14ac:dyDescent="0.25">
      <c r="C9" s="7">
        <f t="shared" si="2"/>
        <v>44234</v>
      </c>
      <c r="D9" s="1">
        <f t="shared" si="0"/>
        <v>2</v>
      </c>
      <c r="E9" s="1" t="str">
        <f t="shared" si="3"/>
        <v>2-1</v>
      </c>
      <c r="F9" s="1" t="str">
        <f t="shared" si="4"/>
        <v>021</v>
      </c>
      <c r="G9" s="1">
        <f t="shared" si="1"/>
        <v>7</v>
      </c>
    </row>
    <row r="10" spans="1:7" x14ac:dyDescent="0.25">
      <c r="C10" s="7">
        <f t="shared" si="2"/>
        <v>44241</v>
      </c>
      <c r="D10" s="1">
        <f t="shared" si="0"/>
        <v>2</v>
      </c>
      <c r="E10" s="1" t="str">
        <f t="shared" si="3"/>
        <v>2-2</v>
      </c>
      <c r="F10" s="1" t="str">
        <f t="shared" si="4"/>
        <v>022</v>
      </c>
      <c r="G10" s="1">
        <f t="shared" si="1"/>
        <v>8</v>
      </c>
    </row>
    <row r="11" spans="1:7" x14ac:dyDescent="0.25">
      <c r="C11" s="7">
        <f t="shared" si="2"/>
        <v>44248</v>
      </c>
      <c r="D11" s="1">
        <f t="shared" si="0"/>
        <v>2</v>
      </c>
      <c r="E11" s="1" t="str">
        <f t="shared" si="3"/>
        <v>2-3</v>
      </c>
      <c r="F11" s="1" t="str">
        <f t="shared" si="4"/>
        <v>023</v>
      </c>
      <c r="G11" s="1">
        <f t="shared" si="1"/>
        <v>9</v>
      </c>
    </row>
    <row r="12" spans="1:7" x14ac:dyDescent="0.25">
      <c r="C12" s="7">
        <f t="shared" si="2"/>
        <v>44255</v>
      </c>
      <c r="D12" s="1">
        <f t="shared" si="0"/>
        <v>2</v>
      </c>
      <c r="E12" s="1" t="str">
        <f t="shared" si="3"/>
        <v>2-4</v>
      </c>
      <c r="F12" s="1" t="str">
        <f t="shared" si="4"/>
        <v>024</v>
      </c>
      <c r="G12" s="1">
        <f t="shared" si="1"/>
        <v>10</v>
      </c>
    </row>
    <row r="13" spans="1:7" x14ac:dyDescent="0.25">
      <c r="C13" s="7">
        <f t="shared" si="2"/>
        <v>44262</v>
      </c>
      <c r="D13" s="1">
        <f t="shared" si="0"/>
        <v>3</v>
      </c>
      <c r="E13" s="1" t="str">
        <f t="shared" si="3"/>
        <v>3-1</v>
      </c>
      <c r="F13" s="1" t="str">
        <f t="shared" si="4"/>
        <v>031</v>
      </c>
      <c r="G13" s="1">
        <f t="shared" si="1"/>
        <v>11</v>
      </c>
    </row>
    <row r="14" spans="1:7" x14ac:dyDescent="0.25">
      <c r="C14" s="7">
        <f t="shared" si="2"/>
        <v>44269</v>
      </c>
      <c r="D14" s="1">
        <f t="shared" si="0"/>
        <v>3</v>
      </c>
      <c r="E14" s="1" t="str">
        <f t="shared" si="3"/>
        <v>3-2</v>
      </c>
      <c r="F14" s="1" t="str">
        <f t="shared" si="4"/>
        <v>032</v>
      </c>
      <c r="G14" s="1">
        <f t="shared" si="1"/>
        <v>12</v>
      </c>
    </row>
    <row r="15" spans="1:7" x14ac:dyDescent="0.25">
      <c r="C15" s="7">
        <f t="shared" si="2"/>
        <v>44276</v>
      </c>
      <c r="D15" s="1">
        <f t="shared" si="0"/>
        <v>3</v>
      </c>
      <c r="E15" s="1" t="str">
        <f t="shared" si="3"/>
        <v>3-3</v>
      </c>
      <c r="F15" s="1" t="str">
        <f t="shared" si="4"/>
        <v>033</v>
      </c>
      <c r="G15" s="1">
        <f t="shared" si="1"/>
        <v>13</v>
      </c>
    </row>
    <row r="16" spans="1:7" x14ac:dyDescent="0.25">
      <c r="C16" s="7">
        <f t="shared" si="2"/>
        <v>44283</v>
      </c>
      <c r="D16" s="1">
        <f t="shared" si="0"/>
        <v>3</v>
      </c>
      <c r="E16" s="1" t="str">
        <f t="shared" si="3"/>
        <v>3-4</v>
      </c>
      <c r="F16" s="1" t="str">
        <f t="shared" si="4"/>
        <v>034</v>
      </c>
      <c r="G16" s="1">
        <f t="shared" si="1"/>
        <v>14</v>
      </c>
    </row>
    <row r="17" spans="3:7" x14ac:dyDescent="0.25">
      <c r="C17" s="7">
        <f t="shared" si="2"/>
        <v>44290</v>
      </c>
      <c r="D17" s="1">
        <f t="shared" si="0"/>
        <v>4</v>
      </c>
      <c r="E17" s="1" t="str">
        <f t="shared" si="3"/>
        <v>4-1</v>
      </c>
      <c r="F17" s="1" t="str">
        <f t="shared" si="4"/>
        <v>041</v>
      </c>
      <c r="G17" s="1">
        <f t="shared" si="1"/>
        <v>15</v>
      </c>
    </row>
    <row r="18" spans="3:7" x14ac:dyDescent="0.25">
      <c r="C18" s="7">
        <f t="shared" si="2"/>
        <v>44297</v>
      </c>
      <c r="D18" s="1">
        <f t="shared" si="0"/>
        <v>4</v>
      </c>
      <c r="E18" s="1" t="str">
        <f t="shared" si="3"/>
        <v>4-2</v>
      </c>
      <c r="F18" s="1" t="str">
        <f t="shared" si="4"/>
        <v>042</v>
      </c>
      <c r="G18" s="1">
        <f t="shared" si="1"/>
        <v>16</v>
      </c>
    </row>
    <row r="19" spans="3:7" x14ac:dyDescent="0.25">
      <c r="C19" s="7">
        <f t="shared" si="2"/>
        <v>44304</v>
      </c>
      <c r="D19" s="1">
        <f t="shared" si="0"/>
        <v>4</v>
      </c>
      <c r="E19" s="1" t="str">
        <f t="shared" si="3"/>
        <v>4-3</v>
      </c>
      <c r="F19" s="1" t="str">
        <f t="shared" si="4"/>
        <v>043</v>
      </c>
      <c r="G19" s="1">
        <f t="shared" si="1"/>
        <v>17</v>
      </c>
    </row>
    <row r="20" spans="3:7" x14ac:dyDescent="0.25">
      <c r="C20" s="7">
        <f t="shared" si="2"/>
        <v>44311</v>
      </c>
      <c r="D20" s="1">
        <f t="shared" si="0"/>
        <v>4</v>
      </c>
      <c r="E20" s="1" t="str">
        <f t="shared" si="3"/>
        <v>4-4</v>
      </c>
      <c r="F20" s="1" t="str">
        <f t="shared" si="4"/>
        <v>044</v>
      </c>
      <c r="G20" s="1">
        <f t="shared" si="1"/>
        <v>18</v>
      </c>
    </row>
    <row r="21" spans="3:7" x14ac:dyDescent="0.25">
      <c r="C21" s="7">
        <f t="shared" si="2"/>
        <v>44318</v>
      </c>
      <c r="D21" s="1">
        <f t="shared" si="0"/>
        <v>5</v>
      </c>
      <c r="E21" s="1" t="str">
        <f t="shared" si="3"/>
        <v>5-1</v>
      </c>
      <c r="F21" s="1" t="str">
        <f t="shared" si="4"/>
        <v>051</v>
      </c>
      <c r="G21" s="1">
        <f t="shared" si="1"/>
        <v>19</v>
      </c>
    </row>
    <row r="22" spans="3:7" x14ac:dyDescent="0.25">
      <c r="C22" s="7">
        <f t="shared" si="2"/>
        <v>44325</v>
      </c>
      <c r="D22" s="1">
        <f t="shared" si="0"/>
        <v>5</v>
      </c>
      <c r="E22" s="1" t="str">
        <f t="shared" si="3"/>
        <v>5-2</v>
      </c>
      <c r="F22" s="1" t="str">
        <f t="shared" si="4"/>
        <v>052</v>
      </c>
      <c r="G22" s="1">
        <f t="shared" si="1"/>
        <v>20</v>
      </c>
    </row>
    <row r="23" spans="3:7" x14ac:dyDescent="0.25">
      <c r="C23" s="7">
        <f t="shared" si="2"/>
        <v>44332</v>
      </c>
      <c r="D23" s="1">
        <f t="shared" si="0"/>
        <v>5</v>
      </c>
      <c r="E23" s="1" t="str">
        <f t="shared" si="3"/>
        <v>5-3</v>
      </c>
      <c r="F23" s="1" t="str">
        <f t="shared" si="4"/>
        <v>053</v>
      </c>
      <c r="G23" s="1">
        <f t="shared" si="1"/>
        <v>21</v>
      </c>
    </row>
    <row r="24" spans="3:7" x14ac:dyDescent="0.25">
      <c r="C24" s="7">
        <f t="shared" si="2"/>
        <v>44339</v>
      </c>
      <c r="D24" s="1">
        <f t="shared" si="0"/>
        <v>5</v>
      </c>
      <c r="E24" s="1" t="str">
        <f t="shared" si="3"/>
        <v>5-4</v>
      </c>
      <c r="F24" s="1" t="str">
        <f t="shared" si="4"/>
        <v>054</v>
      </c>
      <c r="G24" s="1">
        <f t="shared" si="1"/>
        <v>22</v>
      </c>
    </row>
    <row r="25" spans="3:7" x14ac:dyDescent="0.25">
      <c r="C25" s="7">
        <f t="shared" si="2"/>
        <v>44346</v>
      </c>
      <c r="D25" s="1">
        <f t="shared" si="0"/>
        <v>5</v>
      </c>
      <c r="E25" s="1" t="str">
        <f t="shared" si="3"/>
        <v>5-5</v>
      </c>
      <c r="F25" s="1" t="str">
        <f t="shared" si="4"/>
        <v>055</v>
      </c>
      <c r="G25" s="1">
        <f t="shared" si="1"/>
        <v>23</v>
      </c>
    </row>
    <row r="26" spans="3:7" x14ac:dyDescent="0.25">
      <c r="C26" s="7">
        <f t="shared" si="2"/>
        <v>44353</v>
      </c>
      <c r="D26" s="1">
        <f t="shared" si="0"/>
        <v>6</v>
      </c>
      <c r="E26" s="1" t="str">
        <f t="shared" si="3"/>
        <v>6-1</v>
      </c>
      <c r="F26" s="1" t="str">
        <f t="shared" si="4"/>
        <v>061</v>
      </c>
      <c r="G26" s="1">
        <f t="shared" si="1"/>
        <v>24</v>
      </c>
    </row>
    <row r="27" spans="3:7" x14ac:dyDescent="0.25">
      <c r="C27" s="7">
        <f t="shared" si="2"/>
        <v>44360</v>
      </c>
      <c r="D27" s="1">
        <f t="shared" si="0"/>
        <v>6</v>
      </c>
      <c r="E27" s="1" t="str">
        <f t="shared" si="3"/>
        <v>6-2</v>
      </c>
      <c r="F27" s="1" t="str">
        <f t="shared" si="4"/>
        <v>062</v>
      </c>
      <c r="G27" s="1">
        <f t="shared" si="1"/>
        <v>25</v>
      </c>
    </row>
    <row r="28" spans="3:7" x14ac:dyDescent="0.25">
      <c r="C28" s="7">
        <f t="shared" si="2"/>
        <v>44367</v>
      </c>
      <c r="D28" s="1">
        <f t="shared" si="0"/>
        <v>6</v>
      </c>
      <c r="E28" s="1" t="str">
        <f t="shared" si="3"/>
        <v>6-3</v>
      </c>
      <c r="F28" s="1" t="str">
        <f t="shared" si="4"/>
        <v>063</v>
      </c>
      <c r="G28" s="1">
        <f t="shared" si="1"/>
        <v>26</v>
      </c>
    </row>
    <row r="29" spans="3:7" x14ac:dyDescent="0.25">
      <c r="C29" s="7">
        <f t="shared" si="2"/>
        <v>44374</v>
      </c>
      <c r="D29" s="1">
        <f t="shared" si="0"/>
        <v>6</v>
      </c>
      <c r="E29" s="1" t="str">
        <f t="shared" si="3"/>
        <v>6-4</v>
      </c>
      <c r="F29" s="1" t="str">
        <f t="shared" si="4"/>
        <v>064</v>
      </c>
      <c r="G29" s="1">
        <f t="shared" si="1"/>
        <v>27</v>
      </c>
    </row>
    <row r="30" spans="3:7" x14ac:dyDescent="0.25">
      <c r="C30" s="7">
        <f t="shared" si="2"/>
        <v>44381</v>
      </c>
      <c r="D30" s="1">
        <f t="shared" si="0"/>
        <v>7</v>
      </c>
      <c r="E30" s="1" t="str">
        <f t="shared" si="3"/>
        <v>7-1</v>
      </c>
      <c r="F30" s="1" t="str">
        <f t="shared" si="4"/>
        <v>071</v>
      </c>
      <c r="G30" s="1">
        <f t="shared" si="1"/>
        <v>28</v>
      </c>
    </row>
    <row r="31" spans="3:7" x14ac:dyDescent="0.25">
      <c r="C31" s="7">
        <f t="shared" si="2"/>
        <v>44388</v>
      </c>
      <c r="D31" s="1">
        <f t="shared" si="0"/>
        <v>7</v>
      </c>
      <c r="E31" s="1" t="str">
        <f t="shared" si="3"/>
        <v>7-2</v>
      </c>
      <c r="F31" s="1" t="str">
        <f t="shared" si="4"/>
        <v>072</v>
      </c>
      <c r="G31" s="1">
        <f t="shared" si="1"/>
        <v>29</v>
      </c>
    </row>
    <row r="32" spans="3:7" x14ac:dyDescent="0.25">
      <c r="C32" s="7">
        <f t="shared" si="2"/>
        <v>44395</v>
      </c>
      <c r="D32" s="1">
        <f t="shared" si="0"/>
        <v>7</v>
      </c>
      <c r="E32" s="1" t="str">
        <f t="shared" si="3"/>
        <v>7-3</v>
      </c>
      <c r="F32" s="1" t="str">
        <f t="shared" si="4"/>
        <v>073</v>
      </c>
      <c r="G32" s="1">
        <f t="shared" si="1"/>
        <v>30</v>
      </c>
    </row>
    <row r="33" spans="3:7" x14ac:dyDescent="0.25">
      <c r="C33" s="7">
        <f t="shared" si="2"/>
        <v>44402</v>
      </c>
      <c r="D33" s="1">
        <f t="shared" si="0"/>
        <v>7</v>
      </c>
      <c r="E33" s="1" t="str">
        <f t="shared" si="3"/>
        <v>7-4</v>
      </c>
      <c r="F33" s="1" t="str">
        <f t="shared" si="4"/>
        <v>074</v>
      </c>
      <c r="G33" s="1">
        <f t="shared" si="1"/>
        <v>31</v>
      </c>
    </row>
    <row r="34" spans="3:7" x14ac:dyDescent="0.25">
      <c r="C34" s="7">
        <f t="shared" si="2"/>
        <v>44409</v>
      </c>
      <c r="D34" s="1">
        <f t="shared" si="0"/>
        <v>8</v>
      </c>
      <c r="E34" s="1" t="str">
        <f t="shared" si="3"/>
        <v>8-1</v>
      </c>
      <c r="F34" s="1" t="str">
        <f t="shared" si="4"/>
        <v>081</v>
      </c>
      <c r="G34" s="1">
        <f t="shared" si="1"/>
        <v>32</v>
      </c>
    </row>
    <row r="35" spans="3:7" x14ac:dyDescent="0.25">
      <c r="C35" s="7">
        <f t="shared" si="2"/>
        <v>44416</v>
      </c>
      <c r="D35" s="1">
        <f t="shared" si="0"/>
        <v>8</v>
      </c>
      <c r="E35" s="1" t="str">
        <f t="shared" si="3"/>
        <v>8-2</v>
      </c>
      <c r="F35" s="1" t="str">
        <f t="shared" si="4"/>
        <v>082</v>
      </c>
      <c r="G35" s="1">
        <f t="shared" si="1"/>
        <v>33</v>
      </c>
    </row>
    <row r="36" spans="3:7" x14ac:dyDescent="0.25">
      <c r="C36" s="7">
        <f t="shared" si="2"/>
        <v>44423</v>
      </c>
      <c r="D36" s="1">
        <f t="shared" si="0"/>
        <v>8</v>
      </c>
      <c r="E36" s="1" t="str">
        <f t="shared" si="3"/>
        <v>8-3</v>
      </c>
      <c r="F36" s="1" t="str">
        <f t="shared" si="4"/>
        <v>083</v>
      </c>
      <c r="G36" s="1">
        <f t="shared" si="1"/>
        <v>34</v>
      </c>
    </row>
    <row r="37" spans="3:7" x14ac:dyDescent="0.25">
      <c r="C37" s="7">
        <f t="shared" si="2"/>
        <v>44430</v>
      </c>
      <c r="D37" s="1">
        <f t="shared" si="0"/>
        <v>8</v>
      </c>
      <c r="E37" s="1" t="str">
        <f t="shared" si="3"/>
        <v>8-4</v>
      </c>
      <c r="F37" s="1" t="str">
        <f t="shared" si="4"/>
        <v>084</v>
      </c>
      <c r="G37" s="1">
        <f t="shared" si="1"/>
        <v>35</v>
      </c>
    </row>
    <row r="38" spans="3:7" x14ac:dyDescent="0.25">
      <c r="C38" s="7">
        <f t="shared" si="2"/>
        <v>44437</v>
      </c>
      <c r="D38" s="1">
        <f t="shared" si="0"/>
        <v>8</v>
      </c>
      <c r="E38" s="1" t="str">
        <f t="shared" si="3"/>
        <v>8-5</v>
      </c>
      <c r="F38" s="1" t="str">
        <f t="shared" si="4"/>
        <v>085</v>
      </c>
      <c r="G38" s="1">
        <f t="shared" si="1"/>
        <v>36</v>
      </c>
    </row>
    <row r="39" spans="3:7" x14ac:dyDescent="0.25">
      <c r="C39" s="7">
        <f t="shared" si="2"/>
        <v>44444</v>
      </c>
      <c r="D39" s="1">
        <f t="shared" si="0"/>
        <v>9</v>
      </c>
      <c r="E39" s="1" t="str">
        <f t="shared" si="3"/>
        <v>9-1</v>
      </c>
      <c r="F39" s="1" t="str">
        <f t="shared" si="4"/>
        <v>091</v>
      </c>
      <c r="G39" s="1">
        <f t="shared" si="1"/>
        <v>37</v>
      </c>
    </row>
    <row r="40" spans="3:7" x14ac:dyDescent="0.25">
      <c r="C40" s="7">
        <f t="shared" si="2"/>
        <v>44451</v>
      </c>
      <c r="D40" s="1">
        <f t="shared" si="0"/>
        <v>9</v>
      </c>
      <c r="E40" s="1" t="str">
        <f t="shared" si="3"/>
        <v>9-2</v>
      </c>
      <c r="F40" s="1" t="str">
        <f t="shared" si="4"/>
        <v>092</v>
      </c>
      <c r="G40" s="1">
        <f t="shared" si="1"/>
        <v>38</v>
      </c>
    </row>
    <row r="41" spans="3:7" x14ac:dyDescent="0.25">
      <c r="C41" s="7">
        <f t="shared" si="2"/>
        <v>44458</v>
      </c>
      <c r="D41" s="1">
        <f t="shared" si="0"/>
        <v>9</v>
      </c>
      <c r="E41" s="1" t="str">
        <f t="shared" si="3"/>
        <v>9-3</v>
      </c>
      <c r="F41" s="1" t="str">
        <f t="shared" si="4"/>
        <v>093</v>
      </c>
      <c r="G41" s="1">
        <f t="shared" si="1"/>
        <v>39</v>
      </c>
    </row>
    <row r="42" spans="3:7" x14ac:dyDescent="0.25">
      <c r="C42" s="7">
        <f t="shared" si="2"/>
        <v>44465</v>
      </c>
      <c r="D42" s="1">
        <f t="shared" si="0"/>
        <v>9</v>
      </c>
      <c r="E42" s="1" t="str">
        <f t="shared" si="3"/>
        <v>9-4</v>
      </c>
      <c r="F42" s="1" t="str">
        <f t="shared" si="4"/>
        <v>094</v>
      </c>
      <c r="G42" s="1">
        <f t="shared" si="1"/>
        <v>40</v>
      </c>
    </row>
    <row r="43" spans="3:7" x14ac:dyDescent="0.25">
      <c r="C43" s="7">
        <f t="shared" si="2"/>
        <v>44472</v>
      </c>
      <c r="D43" s="1">
        <f t="shared" si="0"/>
        <v>10</v>
      </c>
      <c r="E43" s="1" t="str">
        <f t="shared" si="3"/>
        <v>10-1</v>
      </c>
      <c r="F43" s="1" t="str">
        <f>D43&amp;IF(D43=D42,RIGHT(E42,1)+1,1)</f>
        <v>101</v>
      </c>
      <c r="G43" s="1">
        <f t="shared" si="1"/>
        <v>41</v>
      </c>
    </row>
    <row r="44" spans="3:7" x14ac:dyDescent="0.25">
      <c r="C44" s="7">
        <f t="shared" si="2"/>
        <v>44479</v>
      </c>
      <c r="D44" s="1">
        <f t="shared" si="0"/>
        <v>10</v>
      </c>
      <c r="E44" s="1" t="str">
        <f t="shared" si="3"/>
        <v>10-2</v>
      </c>
      <c r="F44" s="1" t="str">
        <f t="shared" ref="F44:F55" si="5">D44&amp;IF(D44=D43,RIGHT(E43,1)+1,1)</f>
        <v>102</v>
      </c>
      <c r="G44" s="1">
        <f t="shared" si="1"/>
        <v>42</v>
      </c>
    </row>
    <row r="45" spans="3:7" x14ac:dyDescent="0.25">
      <c r="C45" s="7">
        <f t="shared" si="2"/>
        <v>44486</v>
      </c>
      <c r="D45" s="1">
        <f t="shared" si="0"/>
        <v>10</v>
      </c>
      <c r="E45" s="1" t="str">
        <f t="shared" si="3"/>
        <v>10-3</v>
      </c>
      <c r="F45" s="1" t="str">
        <f t="shared" si="5"/>
        <v>103</v>
      </c>
      <c r="G45" s="1">
        <f t="shared" si="1"/>
        <v>43</v>
      </c>
    </row>
    <row r="46" spans="3:7" x14ac:dyDescent="0.25">
      <c r="C46" s="7">
        <f t="shared" si="2"/>
        <v>44493</v>
      </c>
      <c r="D46" s="1">
        <f t="shared" si="0"/>
        <v>10</v>
      </c>
      <c r="E46" s="1" t="str">
        <f t="shared" si="3"/>
        <v>10-4</v>
      </c>
      <c r="F46" s="1" t="str">
        <f t="shared" si="5"/>
        <v>104</v>
      </c>
      <c r="G46" s="1">
        <f t="shared" si="1"/>
        <v>44</v>
      </c>
    </row>
    <row r="47" spans="3:7" x14ac:dyDescent="0.25">
      <c r="C47" s="7">
        <f t="shared" si="2"/>
        <v>44500</v>
      </c>
      <c r="D47" s="1">
        <f t="shared" si="0"/>
        <v>10</v>
      </c>
      <c r="E47" s="1" t="str">
        <f t="shared" si="3"/>
        <v>10-5</v>
      </c>
      <c r="F47" s="1" t="str">
        <f t="shared" si="5"/>
        <v>105</v>
      </c>
      <c r="G47" s="1">
        <f t="shared" si="1"/>
        <v>45</v>
      </c>
    </row>
    <row r="48" spans="3:7" x14ac:dyDescent="0.25">
      <c r="C48" s="7">
        <f t="shared" si="2"/>
        <v>44507</v>
      </c>
      <c r="D48" s="1">
        <f t="shared" si="0"/>
        <v>11</v>
      </c>
      <c r="E48" s="1" t="str">
        <f t="shared" si="3"/>
        <v>11-1</v>
      </c>
      <c r="F48" s="1" t="str">
        <f t="shared" si="5"/>
        <v>111</v>
      </c>
      <c r="G48" s="1">
        <f t="shared" si="1"/>
        <v>46</v>
      </c>
    </row>
    <row r="49" spans="3:7" x14ac:dyDescent="0.25">
      <c r="C49" s="7">
        <f>C48+7</f>
        <v>44514</v>
      </c>
      <c r="D49" s="1">
        <f t="shared" si="0"/>
        <v>11</v>
      </c>
      <c r="E49" s="1" t="str">
        <f t="shared" si="3"/>
        <v>11-2</v>
      </c>
      <c r="F49" s="1" t="str">
        <f t="shared" si="5"/>
        <v>112</v>
      </c>
      <c r="G49" s="1">
        <f t="shared" si="1"/>
        <v>47</v>
      </c>
    </row>
    <row r="50" spans="3:7" x14ac:dyDescent="0.25">
      <c r="C50" s="7">
        <f t="shared" si="2"/>
        <v>44521</v>
      </c>
      <c r="D50" s="1">
        <f t="shared" si="0"/>
        <v>11</v>
      </c>
      <c r="E50" s="1" t="str">
        <f t="shared" si="3"/>
        <v>11-3</v>
      </c>
      <c r="F50" s="1" t="str">
        <f t="shared" si="5"/>
        <v>113</v>
      </c>
      <c r="G50" s="1">
        <f t="shared" si="1"/>
        <v>48</v>
      </c>
    </row>
    <row r="51" spans="3:7" x14ac:dyDescent="0.25">
      <c r="C51" s="7">
        <f t="shared" si="2"/>
        <v>44528</v>
      </c>
      <c r="D51" s="1">
        <f t="shared" si="0"/>
        <v>11</v>
      </c>
      <c r="E51" s="1" t="str">
        <f t="shared" si="3"/>
        <v>11-4</v>
      </c>
      <c r="F51" s="1" t="str">
        <f t="shared" si="5"/>
        <v>114</v>
      </c>
      <c r="G51" s="1">
        <f t="shared" si="1"/>
        <v>49</v>
      </c>
    </row>
    <row r="52" spans="3:7" x14ac:dyDescent="0.25">
      <c r="C52" s="7">
        <f t="shared" si="2"/>
        <v>44535</v>
      </c>
      <c r="D52" s="1">
        <f t="shared" si="0"/>
        <v>12</v>
      </c>
      <c r="E52" s="1" t="str">
        <f t="shared" si="3"/>
        <v>12-1</v>
      </c>
      <c r="F52" s="1" t="str">
        <f t="shared" si="5"/>
        <v>121</v>
      </c>
      <c r="G52" s="1">
        <f t="shared" si="1"/>
        <v>50</v>
      </c>
    </row>
    <row r="53" spans="3:7" x14ac:dyDescent="0.25">
      <c r="C53" s="7">
        <f t="shared" si="2"/>
        <v>44542</v>
      </c>
      <c r="D53" s="1">
        <f t="shared" si="0"/>
        <v>12</v>
      </c>
      <c r="E53" s="1" t="str">
        <f t="shared" si="3"/>
        <v>12-2</v>
      </c>
      <c r="F53" s="1" t="str">
        <f t="shared" si="5"/>
        <v>122</v>
      </c>
      <c r="G53" s="1">
        <f t="shared" si="1"/>
        <v>51</v>
      </c>
    </row>
    <row r="54" spans="3:7" x14ac:dyDescent="0.25">
      <c r="C54" s="7">
        <f t="shared" si="2"/>
        <v>44549</v>
      </c>
      <c r="D54" s="1">
        <f t="shared" si="0"/>
        <v>12</v>
      </c>
      <c r="E54" s="1" t="str">
        <f t="shared" si="3"/>
        <v>12-3</v>
      </c>
      <c r="F54" s="1" t="str">
        <f t="shared" si="5"/>
        <v>123</v>
      </c>
      <c r="G54" s="1">
        <f t="shared" si="1"/>
        <v>52</v>
      </c>
    </row>
    <row r="55" spans="3:7" x14ac:dyDescent="0.25">
      <c r="C55" s="7">
        <f t="shared" si="2"/>
        <v>44556</v>
      </c>
      <c r="D55" s="1">
        <f t="shared" si="0"/>
        <v>12</v>
      </c>
      <c r="E55" s="1" t="str">
        <f t="shared" si="3"/>
        <v>12-4</v>
      </c>
      <c r="F55" s="1" t="str">
        <f t="shared" si="5"/>
        <v>124</v>
      </c>
      <c r="G55" s="1">
        <f t="shared" si="1"/>
        <v>53</v>
      </c>
    </row>
    <row r="56" spans="3:7" x14ac:dyDescent="0.25">
      <c r="C56" s="7" t="str">
        <f>IF(MONTH(C55+7)=1,"End",C55+7)</f>
        <v>End</v>
      </c>
      <c r="D56" s="1" t="e">
        <f t="shared" si="0"/>
        <v>#VALUE!</v>
      </c>
      <c r="E56" s="1" t="e">
        <f t="shared" si="3"/>
        <v>#VALUE!</v>
      </c>
    </row>
    <row r="57" spans="3:7" x14ac:dyDescent="0.25">
      <c r="C57" s="7"/>
    </row>
    <row r="58" spans="3:7" x14ac:dyDescent="0.25">
      <c r="C58" s="7"/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AA2D-5284-4E8F-AFF5-28F9C022ADCF}">
  <dimension ref="A1:G30"/>
  <sheetViews>
    <sheetView topLeftCell="A3" workbookViewId="0">
      <selection activeCell="A4" sqref="A4"/>
    </sheetView>
  </sheetViews>
  <sheetFormatPr defaultRowHeight="12.75" x14ac:dyDescent="0.2"/>
  <cols>
    <col min="1" max="1" width="8.140625" style="27" customWidth="1"/>
    <col min="2" max="2" width="10.85546875" style="28" customWidth="1"/>
    <col min="3" max="3" width="11.140625" style="28" customWidth="1"/>
    <col min="4" max="4" width="6.5703125" style="28" customWidth="1"/>
    <col min="5" max="5" width="7.42578125" style="27" customWidth="1"/>
    <col min="6" max="6" width="11.42578125" style="14" customWidth="1"/>
    <col min="7" max="7" width="11" style="14" customWidth="1"/>
    <col min="8" max="256" width="8.7109375" style="14"/>
    <col min="257" max="257" width="8.140625" style="14" customWidth="1"/>
    <col min="258" max="258" width="10.85546875" style="14" customWidth="1"/>
    <col min="259" max="259" width="11.140625" style="14" customWidth="1"/>
    <col min="260" max="260" width="6.5703125" style="14" customWidth="1"/>
    <col min="261" max="261" width="7.42578125" style="14" customWidth="1"/>
    <col min="262" max="262" width="11.42578125" style="14" customWidth="1"/>
    <col min="263" max="263" width="11" style="14" customWidth="1"/>
    <col min="264" max="512" width="8.7109375" style="14"/>
    <col min="513" max="513" width="8.140625" style="14" customWidth="1"/>
    <col min="514" max="514" width="10.85546875" style="14" customWidth="1"/>
    <col min="515" max="515" width="11.140625" style="14" customWidth="1"/>
    <col min="516" max="516" width="6.5703125" style="14" customWidth="1"/>
    <col min="517" max="517" width="7.42578125" style="14" customWidth="1"/>
    <col min="518" max="518" width="11.42578125" style="14" customWidth="1"/>
    <col min="519" max="519" width="11" style="14" customWidth="1"/>
    <col min="520" max="768" width="8.7109375" style="14"/>
    <col min="769" max="769" width="8.140625" style="14" customWidth="1"/>
    <col min="770" max="770" width="10.85546875" style="14" customWidth="1"/>
    <col min="771" max="771" width="11.140625" style="14" customWidth="1"/>
    <col min="772" max="772" width="6.5703125" style="14" customWidth="1"/>
    <col min="773" max="773" width="7.42578125" style="14" customWidth="1"/>
    <col min="774" max="774" width="11.42578125" style="14" customWidth="1"/>
    <col min="775" max="775" width="11" style="14" customWidth="1"/>
    <col min="776" max="1024" width="8.7109375" style="14"/>
    <col min="1025" max="1025" width="8.140625" style="14" customWidth="1"/>
    <col min="1026" max="1026" width="10.85546875" style="14" customWidth="1"/>
    <col min="1027" max="1027" width="11.140625" style="14" customWidth="1"/>
    <col min="1028" max="1028" width="6.5703125" style="14" customWidth="1"/>
    <col min="1029" max="1029" width="7.42578125" style="14" customWidth="1"/>
    <col min="1030" max="1030" width="11.42578125" style="14" customWidth="1"/>
    <col min="1031" max="1031" width="11" style="14" customWidth="1"/>
    <col min="1032" max="1280" width="8.7109375" style="14"/>
    <col min="1281" max="1281" width="8.140625" style="14" customWidth="1"/>
    <col min="1282" max="1282" width="10.85546875" style="14" customWidth="1"/>
    <col min="1283" max="1283" width="11.140625" style="14" customWidth="1"/>
    <col min="1284" max="1284" width="6.5703125" style="14" customWidth="1"/>
    <col min="1285" max="1285" width="7.42578125" style="14" customWidth="1"/>
    <col min="1286" max="1286" width="11.42578125" style="14" customWidth="1"/>
    <col min="1287" max="1287" width="11" style="14" customWidth="1"/>
    <col min="1288" max="1536" width="8.7109375" style="14"/>
    <col min="1537" max="1537" width="8.140625" style="14" customWidth="1"/>
    <col min="1538" max="1538" width="10.85546875" style="14" customWidth="1"/>
    <col min="1539" max="1539" width="11.140625" style="14" customWidth="1"/>
    <col min="1540" max="1540" width="6.5703125" style="14" customWidth="1"/>
    <col min="1541" max="1541" width="7.42578125" style="14" customWidth="1"/>
    <col min="1542" max="1542" width="11.42578125" style="14" customWidth="1"/>
    <col min="1543" max="1543" width="11" style="14" customWidth="1"/>
    <col min="1544" max="1792" width="8.7109375" style="14"/>
    <col min="1793" max="1793" width="8.140625" style="14" customWidth="1"/>
    <col min="1794" max="1794" width="10.85546875" style="14" customWidth="1"/>
    <col min="1795" max="1795" width="11.140625" style="14" customWidth="1"/>
    <col min="1796" max="1796" width="6.5703125" style="14" customWidth="1"/>
    <col min="1797" max="1797" width="7.42578125" style="14" customWidth="1"/>
    <col min="1798" max="1798" width="11.42578125" style="14" customWidth="1"/>
    <col min="1799" max="1799" width="11" style="14" customWidth="1"/>
    <col min="1800" max="2048" width="8.7109375" style="14"/>
    <col min="2049" max="2049" width="8.140625" style="14" customWidth="1"/>
    <col min="2050" max="2050" width="10.85546875" style="14" customWidth="1"/>
    <col min="2051" max="2051" width="11.140625" style="14" customWidth="1"/>
    <col min="2052" max="2052" width="6.5703125" style="14" customWidth="1"/>
    <col min="2053" max="2053" width="7.42578125" style="14" customWidth="1"/>
    <col min="2054" max="2054" width="11.42578125" style="14" customWidth="1"/>
    <col min="2055" max="2055" width="11" style="14" customWidth="1"/>
    <col min="2056" max="2304" width="8.7109375" style="14"/>
    <col min="2305" max="2305" width="8.140625" style="14" customWidth="1"/>
    <col min="2306" max="2306" width="10.85546875" style="14" customWidth="1"/>
    <col min="2307" max="2307" width="11.140625" style="14" customWidth="1"/>
    <col min="2308" max="2308" width="6.5703125" style="14" customWidth="1"/>
    <col min="2309" max="2309" width="7.42578125" style="14" customWidth="1"/>
    <col min="2310" max="2310" width="11.42578125" style="14" customWidth="1"/>
    <col min="2311" max="2311" width="11" style="14" customWidth="1"/>
    <col min="2312" max="2560" width="8.7109375" style="14"/>
    <col min="2561" max="2561" width="8.140625" style="14" customWidth="1"/>
    <col min="2562" max="2562" width="10.85546875" style="14" customWidth="1"/>
    <col min="2563" max="2563" width="11.140625" style="14" customWidth="1"/>
    <col min="2564" max="2564" width="6.5703125" style="14" customWidth="1"/>
    <col min="2565" max="2565" width="7.42578125" style="14" customWidth="1"/>
    <col min="2566" max="2566" width="11.42578125" style="14" customWidth="1"/>
    <col min="2567" max="2567" width="11" style="14" customWidth="1"/>
    <col min="2568" max="2816" width="8.7109375" style="14"/>
    <col min="2817" max="2817" width="8.140625" style="14" customWidth="1"/>
    <col min="2818" max="2818" width="10.85546875" style="14" customWidth="1"/>
    <col min="2819" max="2819" width="11.140625" style="14" customWidth="1"/>
    <col min="2820" max="2820" width="6.5703125" style="14" customWidth="1"/>
    <col min="2821" max="2821" width="7.42578125" style="14" customWidth="1"/>
    <col min="2822" max="2822" width="11.42578125" style="14" customWidth="1"/>
    <col min="2823" max="2823" width="11" style="14" customWidth="1"/>
    <col min="2824" max="3072" width="8.7109375" style="14"/>
    <col min="3073" max="3073" width="8.140625" style="14" customWidth="1"/>
    <col min="3074" max="3074" width="10.85546875" style="14" customWidth="1"/>
    <col min="3075" max="3075" width="11.140625" style="14" customWidth="1"/>
    <col min="3076" max="3076" width="6.5703125" style="14" customWidth="1"/>
    <col min="3077" max="3077" width="7.42578125" style="14" customWidth="1"/>
    <col min="3078" max="3078" width="11.42578125" style="14" customWidth="1"/>
    <col min="3079" max="3079" width="11" style="14" customWidth="1"/>
    <col min="3080" max="3328" width="8.7109375" style="14"/>
    <col min="3329" max="3329" width="8.140625" style="14" customWidth="1"/>
    <col min="3330" max="3330" width="10.85546875" style="14" customWidth="1"/>
    <col min="3331" max="3331" width="11.140625" style="14" customWidth="1"/>
    <col min="3332" max="3332" width="6.5703125" style="14" customWidth="1"/>
    <col min="3333" max="3333" width="7.42578125" style="14" customWidth="1"/>
    <col min="3334" max="3334" width="11.42578125" style="14" customWidth="1"/>
    <col min="3335" max="3335" width="11" style="14" customWidth="1"/>
    <col min="3336" max="3584" width="8.7109375" style="14"/>
    <col min="3585" max="3585" width="8.140625" style="14" customWidth="1"/>
    <col min="3586" max="3586" width="10.85546875" style="14" customWidth="1"/>
    <col min="3587" max="3587" width="11.140625" style="14" customWidth="1"/>
    <col min="3588" max="3588" width="6.5703125" style="14" customWidth="1"/>
    <col min="3589" max="3589" width="7.42578125" style="14" customWidth="1"/>
    <col min="3590" max="3590" width="11.42578125" style="14" customWidth="1"/>
    <col min="3591" max="3591" width="11" style="14" customWidth="1"/>
    <col min="3592" max="3840" width="8.7109375" style="14"/>
    <col min="3841" max="3841" width="8.140625" style="14" customWidth="1"/>
    <col min="3842" max="3842" width="10.85546875" style="14" customWidth="1"/>
    <col min="3843" max="3843" width="11.140625" style="14" customWidth="1"/>
    <col min="3844" max="3844" width="6.5703125" style="14" customWidth="1"/>
    <col min="3845" max="3845" width="7.42578125" style="14" customWidth="1"/>
    <col min="3846" max="3846" width="11.42578125" style="14" customWidth="1"/>
    <col min="3847" max="3847" width="11" style="14" customWidth="1"/>
    <col min="3848" max="4096" width="8.7109375" style="14"/>
    <col min="4097" max="4097" width="8.140625" style="14" customWidth="1"/>
    <col min="4098" max="4098" width="10.85546875" style="14" customWidth="1"/>
    <col min="4099" max="4099" width="11.140625" style="14" customWidth="1"/>
    <col min="4100" max="4100" width="6.5703125" style="14" customWidth="1"/>
    <col min="4101" max="4101" width="7.42578125" style="14" customWidth="1"/>
    <col min="4102" max="4102" width="11.42578125" style="14" customWidth="1"/>
    <col min="4103" max="4103" width="11" style="14" customWidth="1"/>
    <col min="4104" max="4352" width="8.7109375" style="14"/>
    <col min="4353" max="4353" width="8.140625" style="14" customWidth="1"/>
    <col min="4354" max="4354" width="10.85546875" style="14" customWidth="1"/>
    <col min="4355" max="4355" width="11.140625" style="14" customWidth="1"/>
    <col min="4356" max="4356" width="6.5703125" style="14" customWidth="1"/>
    <col min="4357" max="4357" width="7.42578125" style="14" customWidth="1"/>
    <col min="4358" max="4358" width="11.42578125" style="14" customWidth="1"/>
    <col min="4359" max="4359" width="11" style="14" customWidth="1"/>
    <col min="4360" max="4608" width="8.7109375" style="14"/>
    <col min="4609" max="4609" width="8.140625" style="14" customWidth="1"/>
    <col min="4610" max="4610" width="10.85546875" style="14" customWidth="1"/>
    <col min="4611" max="4611" width="11.140625" style="14" customWidth="1"/>
    <col min="4612" max="4612" width="6.5703125" style="14" customWidth="1"/>
    <col min="4613" max="4613" width="7.42578125" style="14" customWidth="1"/>
    <col min="4614" max="4614" width="11.42578125" style="14" customWidth="1"/>
    <col min="4615" max="4615" width="11" style="14" customWidth="1"/>
    <col min="4616" max="4864" width="8.7109375" style="14"/>
    <col min="4865" max="4865" width="8.140625" style="14" customWidth="1"/>
    <col min="4866" max="4866" width="10.85546875" style="14" customWidth="1"/>
    <col min="4867" max="4867" width="11.140625" style="14" customWidth="1"/>
    <col min="4868" max="4868" width="6.5703125" style="14" customWidth="1"/>
    <col min="4869" max="4869" width="7.42578125" style="14" customWidth="1"/>
    <col min="4870" max="4870" width="11.42578125" style="14" customWidth="1"/>
    <col min="4871" max="4871" width="11" style="14" customWidth="1"/>
    <col min="4872" max="5120" width="8.7109375" style="14"/>
    <col min="5121" max="5121" width="8.140625" style="14" customWidth="1"/>
    <col min="5122" max="5122" width="10.85546875" style="14" customWidth="1"/>
    <col min="5123" max="5123" width="11.140625" style="14" customWidth="1"/>
    <col min="5124" max="5124" width="6.5703125" style="14" customWidth="1"/>
    <col min="5125" max="5125" width="7.42578125" style="14" customWidth="1"/>
    <col min="5126" max="5126" width="11.42578125" style="14" customWidth="1"/>
    <col min="5127" max="5127" width="11" style="14" customWidth="1"/>
    <col min="5128" max="5376" width="8.7109375" style="14"/>
    <col min="5377" max="5377" width="8.140625" style="14" customWidth="1"/>
    <col min="5378" max="5378" width="10.85546875" style="14" customWidth="1"/>
    <col min="5379" max="5379" width="11.140625" style="14" customWidth="1"/>
    <col min="5380" max="5380" width="6.5703125" style="14" customWidth="1"/>
    <col min="5381" max="5381" width="7.42578125" style="14" customWidth="1"/>
    <col min="5382" max="5382" width="11.42578125" style="14" customWidth="1"/>
    <col min="5383" max="5383" width="11" style="14" customWidth="1"/>
    <col min="5384" max="5632" width="8.7109375" style="14"/>
    <col min="5633" max="5633" width="8.140625" style="14" customWidth="1"/>
    <col min="5634" max="5634" width="10.85546875" style="14" customWidth="1"/>
    <col min="5635" max="5635" width="11.140625" style="14" customWidth="1"/>
    <col min="5636" max="5636" width="6.5703125" style="14" customWidth="1"/>
    <col min="5637" max="5637" width="7.42578125" style="14" customWidth="1"/>
    <col min="5638" max="5638" width="11.42578125" style="14" customWidth="1"/>
    <col min="5639" max="5639" width="11" style="14" customWidth="1"/>
    <col min="5640" max="5888" width="8.7109375" style="14"/>
    <col min="5889" max="5889" width="8.140625" style="14" customWidth="1"/>
    <col min="5890" max="5890" width="10.85546875" style="14" customWidth="1"/>
    <col min="5891" max="5891" width="11.140625" style="14" customWidth="1"/>
    <col min="5892" max="5892" width="6.5703125" style="14" customWidth="1"/>
    <col min="5893" max="5893" width="7.42578125" style="14" customWidth="1"/>
    <col min="5894" max="5894" width="11.42578125" style="14" customWidth="1"/>
    <col min="5895" max="5895" width="11" style="14" customWidth="1"/>
    <col min="5896" max="6144" width="8.7109375" style="14"/>
    <col min="6145" max="6145" width="8.140625" style="14" customWidth="1"/>
    <col min="6146" max="6146" width="10.85546875" style="14" customWidth="1"/>
    <col min="6147" max="6147" width="11.140625" style="14" customWidth="1"/>
    <col min="6148" max="6148" width="6.5703125" style="14" customWidth="1"/>
    <col min="6149" max="6149" width="7.42578125" style="14" customWidth="1"/>
    <col min="6150" max="6150" width="11.42578125" style="14" customWidth="1"/>
    <col min="6151" max="6151" width="11" style="14" customWidth="1"/>
    <col min="6152" max="6400" width="8.7109375" style="14"/>
    <col min="6401" max="6401" width="8.140625" style="14" customWidth="1"/>
    <col min="6402" max="6402" width="10.85546875" style="14" customWidth="1"/>
    <col min="6403" max="6403" width="11.140625" style="14" customWidth="1"/>
    <col min="6404" max="6404" width="6.5703125" style="14" customWidth="1"/>
    <col min="6405" max="6405" width="7.42578125" style="14" customWidth="1"/>
    <col min="6406" max="6406" width="11.42578125" style="14" customWidth="1"/>
    <col min="6407" max="6407" width="11" style="14" customWidth="1"/>
    <col min="6408" max="6656" width="8.7109375" style="14"/>
    <col min="6657" max="6657" width="8.140625" style="14" customWidth="1"/>
    <col min="6658" max="6658" width="10.85546875" style="14" customWidth="1"/>
    <col min="6659" max="6659" width="11.140625" style="14" customWidth="1"/>
    <col min="6660" max="6660" width="6.5703125" style="14" customWidth="1"/>
    <col min="6661" max="6661" width="7.42578125" style="14" customWidth="1"/>
    <col min="6662" max="6662" width="11.42578125" style="14" customWidth="1"/>
    <col min="6663" max="6663" width="11" style="14" customWidth="1"/>
    <col min="6664" max="6912" width="8.7109375" style="14"/>
    <col min="6913" max="6913" width="8.140625" style="14" customWidth="1"/>
    <col min="6914" max="6914" width="10.85546875" style="14" customWidth="1"/>
    <col min="6915" max="6915" width="11.140625" style="14" customWidth="1"/>
    <col min="6916" max="6916" width="6.5703125" style="14" customWidth="1"/>
    <col min="6917" max="6917" width="7.42578125" style="14" customWidth="1"/>
    <col min="6918" max="6918" width="11.42578125" style="14" customWidth="1"/>
    <col min="6919" max="6919" width="11" style="14" customWidth="1"/>
    <col min="6920" max="7168" width="8.7109375" style="14"/>
    <col min="7169" max="7169" width="8.140625" style="14" customWidth="1"/>
    <col min="7170" max="7170" width="10.85546875" style="14" customWidth="1"/>
    <col min="7171" max="7171" width="11.140625" style="14" customWidth="1"/>
    <col min="7172" max="7172" width="6.5703125" style="14" customWidth="1"/>
    <col min="7173" max="7173" width="7.42578125" style="14" customWidth="1"/>
    <col min="7174" max="7174" width="11.42578125" style="14" customWidth="1"/>
    <col min="7175" max="7175" width="11" style="14" customWidth="1"/>
    <col min="7176" max="7424" width="8.7109375" style="14"/>
    <col min="7425" max="7425" width="8.140625" style="14" customWidth="1"/>
    <col min="7426" max="7426" width="10.85546875" style="14" customWidth="1"/>
    <col min="7427" max="7427" width="11.140625" style="14" customWidth="1"/>
    <col min="7428" max="7428" width="6.5703125" style="14" customWidth="1"/>
    <col min="7429" max="7429" width="7.42578125" style="14" customWidth="1"/>
    <col min="7430" max="7430" width="11.42578125" style="14" customWidth="1"/>
    <col min="7431" max="7431" width="11" style="14" customWidth="1"/>
    <col min="7432" max="7680" width="8.7109375" style="14"/>
    <col min="7681" max="7681" width="8.140625" style="14" customWidth="1"/>
    <col min="7682" max="7682" width="10.85546875" style="14" customWidth="1"/>
    <col min="7683" max="7683" width="11.140625" style="14" customWidth="1"/>
    <col min="7684" max="7684" width="6.5703125" style="14" customWidth="1"/>
    <col min="7685" max="7685" width="7.42578125" style="14" customWidth="1"/>
    <col min="7686" max="7686" width="11.42578125" style="14" customWidth="1"/>
    <col min="7687" max="7687" width="11" style="14" customWidth="1"/>
    <col min="7688" max="7936" width="8.7109375" style="14"/>
    <col min="7937" max="7937" width="8.140625" style="14" customWidth="1"/>
    <col min="7938" max="7938" width="10.85546875" style="14" customWidth="1"/>
    <col min="7939" max="7939" width="11.140625" style="14" customWidth="1"/>
    <col min="7940" max="7940" width="6.5703125" style="14" customWidth="1"/>
    <col min="7941" max="7941" width="7.42578125" style="14" customWidth="1"/>
    <col min="7942" max="7942" width="11.42578125" style="14" customWidth="1"/>
    <col min="7943" max="7943" width="11" style="14" customWidth="1"/>
    <col min="7944" max="8192" width="8.7109375" style="14"/>
    <col min="8193" max="8193" width="8.140625" style="14" customWidth="1"/>
    <col min="8194" max="8194" width="10.85546875" style="14" customWidth="1"/>
    <col min="8195" max="8195" width="11.140625" style="14" customWidth="1"/>
    <col min="8196" max="8196" width="6.5703125" style="14" customWidth="1"/>
    <col min="8197" max="8197" width="7.42578125" style="14" customWidth="1"/>
    <col min="8198" max="8198" width="11.42578125" style="14" customWidth="1"/>
    <col min="8199" max="8199" width="11" style="14" customWidth="1"/>
    <col min="8200" max="8448" width="8.7109375" style="14"/>
    <col min="8449" max="8449" width="8.140625" style="14" customWidth="1"/>
    <col min="8450" max="8450" width="10.85546875" style="14" customWidth="1"/>
    <col min="8451" max="8451" width="11.140625" style="14" customWidth="1"/>
    <col min="8452" max="8452" width="6.5703125" style="14" customWidth="1"/>
    <col min="8453" max="8453" width="7.42578125" style="14" customWidth="1"/>
    <col min="8454" max="8454" width="11.42578125" style="14" customWidth="1"/>
    <col min="8455" max="8455" width="11" style="14" customWidth="1"/>
    <col min="8456" max="8704" width="8.7109375" style="14"/>
    <col min="8705" max="8705" width="8.140625" style="14" customWidth="1"/>
    <col min="8706" max="8706" width="10.85546875" style="14" customWidth="1"/>
    <col min="8707" max="8707" width="11.140625" style="14" customWidth="1"/>
    <col min="8708" max="8708" width="6.5703125" style="14" customWidth="1"/>
    <col min="8709" max="8709" width="7.42578125" style="14" customWidth="1"/>
    <col min="8710" max="8710" width="11.42578125" style="14" customWidth="1"/>
    <col min="8711" max="8711" width="11" style="14" customWidth="1"/>
    <col min="8712" max="8960" width="8.7109375" style="14"/>
    <col min="8961" max="8961" width="8.140625" style="14" customWidth="1"/>
    <col min="8962" max="8962" width="10.85546875" style="14" customWidth="1"/>
    <col min="8963" max="8963" width="11.140625" style="14" customWidth="1"/>
    <col min="8964" max="8964" width="6.5703125" style="14" customWidth="1"/>
    <col min="8965" max="8965" width="7.42578125" style="14" customWidth="1"/>
    <col min="8966" max="8966" width="11.42578125" style="14" customWidth="1"/>
    <col min="8967" max="8967" width="11" style="14" customWidth="1"/>
    <col min="8968" max="9216" width="8.7109375" style="14"/>
    <col min="9217" max="9217" width="8.140625" style="14" customWidth="1"/>
    <col min="9218" max="9218" width="10.85546875" style="14" customWidth="1"/>
    <col min="9219" max="9219" width="11.140625" style="14" customWidth="1"/>
    <col min="9220" max="9220" width="6.5703125" style="14" customWidth="1"/>
    <col min="9221" max="9221" width="7.42578125" style="14" customWidth="1"/>
    <col min="9222" max="9222" width="11.42578125" style="14" customWidth="1"/>
    <col min="9223" max="9223" width="11" style="14" customWidth="1"/>
    <col min="9224" max="9472" width="8.7109375" style="14"/>
    <col min="9473" max="9473" width="8.140625" style="14" customWidth="1"/>
    <col min="9474" max="9474" width="10.85546875" style="14" customWidth="1"/>
    <col min="9475" max="9475" width="11.140625" style="14" customWidth="1"/>
    <col min="9476" max="9476" width="6.5703125" style="14" customWidth="1"/>
    <col min="9477" max="9477" width="7.42578125" style="14" customWidth="1"/>
    <col min="9478" max="9478" width="11.42578125" style="14" customWidth="1"/>
    <col min="9479" max="9479" width="11" style="14" customWidth="1"/>
    <col min="9480" max="9728" width="8.7109375" style="14"/>
    <col min="9729" max="9729" width="8.140625" style="14" customWidth="1"/>
    <col min="9730" max="9730" width="10.85546875" style="14" customWidth="1"/>
    <col min="9731" max="9731" width="11.140625" style="14" customWidth="1"/>
    <col min="9732" max="9732" width="6.5703125" style="14" customWidth="1"/>
    <col min="9733" max="9733" width="7.42578125" style="14" customWidth="1"/>
    <col min="9734" max="9734" width="11.42578125" style="14" customWidth="1"/>
    <col min="9735" max="9735" width="11" style="14" customWidth="1"/>
    <col min="9736" max="9984" width="8.7109375" style="14"/>
    <col min="9985" max="9985" width="8.140625" style="14" customWidth="1"/>
    <col min="9986" max="9986" width="10.85546875" style="14" customWidth="1"/>
    <col min="9987" max="9987" width="11.140625" style="14" customWidth="1"/>
    <col min="9988" max="9988" width="6.5703125" style="14" customWidth="1"/>
    <col min="9989" max="9989" width="7.42578125" style="14" customWidth="1"/>
    <col min="9990" max="9990" width="11.42578125" style="14" customWidth="1"/>
    <col min="9991" max="9991" width="11" style="14" customWidth="1"/>
    <col min="9992" max="10240" width="8.7109375" style="14"/>
    <col min="10241" max="10241" width="8.140625" style="14" customWidth="1"/>
    <col min="10242" max="10242" width="10.85546875" style="14" customWidth="1"/>
    <col min="10243" max="10243" width="11.140625" style="14" customWidth="1"/>
    <col min="10244" max="10244" width="6.5703125" style="14" customWidth="1"/>
    <col min="10245" max="10245" width="7.42578125" style="14" customWidth="1"/>
    <col min="10246" max="10246" width="11.42578125" style="14" customWidth="1"/>
    <col min="10247" max="10247" width="11" style="14" customWidth="1"/>
    <col min="10248" max="10496" width="8.7109375" style="14"/>
    <col min="10497" max="10497" width="8.140625" style="14" customWidth="1"/>
    <col min="10498" max="10498" width="10.85546875" style="14" customWidth="1"/>
    <col min="10499" max="10499" width="11.140625" style="14" customWidth="1"/>
    <col min="10500" max="10500" width="6.5703125" style="14" customWidth="1"/>
    <col min="10501" max="10501" width="7.42578125" style="14" customWidth="1"/>
    <col min="10502" max="10502" width="11.42578125" style="14" customWidth="1"/>
    <col min="10503" max="10503" width="11" style="14" customWidth="1"/>
    <col min="10504" max="10752" width="8.7109375" style="14"/>
    <col min="10753" max="10753" width="8.140625" style="14" customWidth="1"/>
    <col min="10754" max="10754" width="10.85546875" style="14" customWidth="1"/>
    <col min="10755" max="10755" width="11.140625" style="14" customWidth="1"/>
    <col min="10756" max="10756" width="6.5703125" style="14" customWidth="1"/>
    <col min="10757" max="10757" width="7.42578125" style="14" customWidth="1"/>
    <col min="10758" max="10758" width="11.42578125" style="14" customWidth="1"/>
    <col min="10759" max="10759" width="11" style="14" customWidth="1"/>
    <col min="10760" max="11008" width="8.7109375" style="14"/>
    <col min="11009" max="11009" width="8.140625" style="14" customWidth="1"/>
    <col min="11010" max="11010" width="10.85546875" style="14" customWidth="1"/>
    <col min="11011" max="11011" width="11.140625" style="14" customWidth="1"/>
    <col min="11012" max="11012" width="6.5703125" style="14" customWidth="1"/>
    <col min="11013" max="11013" width="7.42578125" style="14" customWidth="1"/>
    <col min="11014" max="11014" width="11.42578125" style="14" customWidth="1"/>
    <col min="11015" max="11015" width="11" style="14" customWidth="1"/>
    <col min="11016" max="11264" width="8.7109375" style="14"/>
    <col min="11265" max="11265" width="8.140625" style="14" customWidth="1"/>
    <col min="11266" max="11266" width="10.85546875" style="14" customWidth="1"/>
    <col min="11267" max="11267" width="11.140625" style="14" customWidth="1"/>
    <col min="11268" max="11268" width="6.5703125" style="14" customWidth="1"/>
    <col min="11269" max="11269" width="7.42578125" style="14" customWidth="1"/>
    <col min="11270" max="11270" width="11.42578125" style="14" customWidth="1"/>
    <col min="11271" max="11271" width="11" style="14" customWidth="1"/>
    <col min="11272" max="11520" width="8.7109375" style="14"/>
    <col min="11521" max="11521" width="8.140625" style="14" customWidth="1"/>
    <col min="11522" max="11522" width="10.85546875" style="14" customWidth="1"/>
    <col min="11523" max="11523" width="11.140625" style="14" customWidth="1"/>
    <col min="11524" max="11524" width="6.5703125" style="14" customWidth="1"/>
    <col min="11525" max="11525" width="7.42578125" style="14" customWidth="1"/>
    <col min="11526" max="11526" width="11.42578125" style="14" customWidth="1"/>
    <col min="11527" max="11527" width="11" style="14" customWidth="1"/>
    <col min="11528" max="11776" width="8.7109375" style="14"/>
    <col min="11777" max="11777" width="8.140625" style="14" customWidth="1"/>
    <col min="11778" max="11778" width="10.85546875" style="14" customWidth="1"/>
    <col min="11779" max="11779" width="11.140625" style="14" customWidth="1"/>
    <col min="11780" max="11780" width="6.5703125" style="14" customWidth="1"/>
    <col min="11781" max="11781" width="7.42578125" style="14" customWidth="1"/>
    <col min="11782" max="11782" width="11.42578125" style="14" customWidth="1"/>
    <col min="11783" max="11783" width="11" style="14" customWidth="1"/>
    <col min="11784" max="12032" width="8.7109375" style="14"/>
    <col min="12033" max="12033" width="8.140625" style="14" customWidth="1"/>
    <col min="12034" max="12034" width="10.85546875" style="14" customWidth="1"/>
    <col min="12035" max="12035" width="11.140625" style="14" customWidth="1"/>
    <col min="12036" max="12036" width="6.5703125" style="14" customWidth="1"/>
    <col min="12037" max="12037" width="7.42578125" style="14" customWidth="1"/>
    <col min="12038" max="12038" width="11.42578125" style="14" customWidth="1"/>
    <col min="12039" max="12039" width="11" style="14" customWidth="1"/>
    <col min="12040" max="12288" width="8.7109375" style="14"/>
    <col min="12289" max="12289" width="8.140625" style="14" customWidth="1"/>
    <col min="12290" max="12290" width="10.85546875" style="14" customWidth="1"/>
    <col min="12291" max="12291" width="11.140625" style="14" customWidth="1"/>
    <col min="12292" max="12292" width="6.5703125" style="14" customWidth="1"/>
    <col min="12293" max="12293" width="7.42578125" style="14" customWidth="1"/>
    <col min="12294" max="12294" width="11.42578125" style="14" customWidth="1"/>
    <col min="12295" max="12295" width="11" style="14" customWidth="1"/>
    <col min="12296" max="12544" width="8.7109375" style="14"/>
    <col min="12545" max="12545" width="8.140625" style="14" customWidth="1"/>
    <col min="12546" max="12546" width="10.85546875" style="14" customWidth="1"/>
    <col min="12547" max="12547" width="11.140625" style="14" customWidth="1"/>
    <col min="12548" max="12548" width="6.5703125" style="14" customWidth="1"/>
    <col min="12549" max="12549" width="7.42578125" style="14" customWidth="1"/>
    <col min="12550" max="12550" width="11.42578125" style="14" customWidth="1"/>
    <col min="12551" max="12551" width="11" style="14" customWidth="1"/>
    <col min="12552" max="12800" width="8.7109375" style="14"/>
    <col min="12801" max="12801" width="8.140625" style="14" customWidth="1"/>
    <col min="12802" max="12802" width="10.85546875" style="14" customWidth="1"/>
    <col min="12803" max="12803" width="11.140625" style="14" customWidth="1"/>
    <col min="12804" max="12804" width="6.5703125" style="14" customWidth="1"/>
    <col min="12805" max="12805" width="7.42578125" style="14" customWidth="1"/>
    <col min="12806" max="12806" width="11.42578125" style="14" customWidth="1"/>
    <col min="12807" max="12807" width="11" style="14" customWidth="1"/>
    <col min="12808" max="13056" width="8.7109375" style="14"/>
    <col min="13057" max="13057" width="8.140625" style="14" customWidth="1"/>
    <col min="13058" max="13058" width="10.85546875" style="14" customWidth="1"/>
    <col min="13059" max="13059" width="11.140625" style="14" customWidth="1"/>
    <col min="13060" max="13060" width="6.5703125" style="14" customWidth="1"/>
    <col min="13061" max="13061" width="7.42578125" style="14" customWidth="1"/>
    <col min="13062" max="13062" width="11.42578125" style="14" customWidth="1"/>
    <col min="13063" max="13063" width="11" style="14" customWidth="1"/>
    <col min="13064" max="13312" width="8.7109375" style="14"/>
    <col min="13313" max="13313" width="8.140625" style="14" customWidth="1"/>
    <col min="13314" max="13314" width="10.85546875" style="14" customWidth="1"/>
    <col min="13315" max="13315" width="11.140625" style="14" customWidth="1"/>
    <col min="13316" max="13316" width="6.5703125" style="14" customWidth="1"/>
    <col min="13317" max="13317" width="7.42578125" style="14" customWidth="1"/>
    <col min="13318" max="13318" width="11.42578125" style="14" customWidth="1"/>
    <col min="13319" max="13319" width="11" style="14" customWidth="1"/>
    <col min="13320" max="13568" width="8.7109375" style="14"/>
    <col min="13569" max="13569" width="8.140625" style="14" customWidth="1"/>
    <col min="13570" max="13570" width="10.85546875" style="14" customWidth="1"/>
    <col min="13571" max="13571" width="11.140625" style="14" customWidth="1"/>
    <col min="13572" max="13572" width="6.5703125" style="14" customWidth="1"/>
    <col min="13573" max="13573" width="7.42578125" style="14" customWidth="1"/>
    <col min="13574" max="13574" width="11.42578125" style="14" customWidth="1"/>
    <col min="13575" max="13575" width="11" style="14" customWidth="1"/>
    <col min="13576" max="13824" width="8.7109375" style="14"/>
    <col min="13825" max="13825" width="8.140625" style="14" customWidth="1"/>
    <col min="13826" max="13826" width="10.85546875" style="14" customWidth="1"/>
    <col min="13827" max="13827" width="11.140625" style="14" customWidth="1"/>
    <col min="13828" max="13828" width="6.5703125" style="14" customWidth="1"/>
    <col min="13829" max="13829" width="7.42578125" style="14" customWidth="1"/>
    <col min="13830" max="13830" width="11.42578125" style="14" customWidth="1"/>
    <col min="13831" max="13831" width="11" style="14" customWidth="1"/>
    <col min="13832" max="14080" width="8.7109375" style="14"/>
    <col min="14081" max="14081" width="8.140625" style="14" customWidth="1"/>
    <col min="14082" max="14082" width="10.85546875" style="14" customWidth="1"/>
    <col min="14083" max="14083" width="11.140625" style="14" customWidth="1"/>
    <col min="14084" max="14084" width="6.5703125" style="14" customWidth="1"/>
    <col min="14085" max="14085" width="7.42578125" style="14" customWidth="1"/>
    <col min="14086" max="14086" width="11.42578125" style="14" customWidth="1"/>
    <col min="14087" max="14087" width="11" style="14" customWidth="1"/>
    <col min="14088" max="14336" width="8.7109375" style="14"/>
    <col min="14337" max="14337" width="8.140625" style="14" customWidth="1"/>
    <col min="14338" max="14338" width="10.85546875" style="14" customWidth="1"/>
    <col min="14339" max="14339" width="11.140625" style="14" customWidth="1"/>
    <col min="14340" max="14340" width="6.5703125" style="14" customWidth="1"/>
    <col min="14341" max="14341" width="7.42578125" style="14" customWidth="1"/>
    <col min="14342" max="14342" width="11.42578125" style="14" customWidth="1"/>
    <col min="14343" max="14343" width="11" style="14" customWidth="1"/>
    <col min="14344" max="14592" width="8.7109375" style="14"/>
    <col min="14593" max="14593" width="8.140625" style="14" customWidth="1"/>
    <col min="14594" max="14594" width="10.85546875" style="14" customWidth="1"/>
    <col min="14595" max="14595" width="11.140625" style="14" customWidth="1"/>
    <col min="14596" max="14596" width="6.5703125" style="14" customWidth="1"/>
    <col min="14597" max="14597" width="7.42578125" style="14" customWidth="1"/>
    <col min="14598" max="14598" width="11.42578125" style="14" customWidth="1"/>
    <col min="14599" max="14599" width="11" style="14" customWidth="1"/>
    <col min="14600" max="14848" width="8.7109375" style="14"/>
    <col min="14849" max="14849" width="8.140625" style="14" customWidth="1"/>
    <col min="14850" max="14850" width="10.85546875" style="14" customWidth="1"/>
    <col min="14851" max="14851" width="11.140625" style="14" customWidth="1"/>
    <col min="14852" max="14852" width="6.5703125" style="14" customWidth="1"/>
    <col min="14853" max="14853" width="7.42578125" style="14" customWidth="1"/>
    <col min="14854" max="14854" width="11.42578125" style="14" customWidth="1"/>
    <col min="14855" max="14855" width="11" style="14" customWidth="1"/>
    <col min="14856" max="15104" width="8.7109375" style="14"/>
    <col min="15105" max="15105" width="8.140625" style="14" customWidth="1"/>
    <col min="15106" max="15106" width="10.85546875" style="14" customWidth="1"/>
    <col min="15107" max="15107" width="11.140625" style="14" customWidth="1"/>
    <col min="15108" max="15108" width="6.5703125" style="14" customWidth="1"/>
    <col min="15109" max="15109" width="7.42578125" style="14" customWidth="1"/>
    <col min="15110" max="15110" width="11.42578125" style="14" customWidth="1"/>
    <col min="15111" max="15111" width="11" style="14" customWidth="1"/>
    <col min="15112" max="15360" width="8.7109375" style="14"/>
    <col min="15361" max="15361" width="8.140625" style="14" customWidth="1"/>
    <col min="15362" max="15362" width="10.85546875" style="14" customWidth="1"/>
    <col min="15363" max="15363" width="11.140625" style="14" customWidth="1"/>
    <col min="15364" max="15364" width="6.5703125" style="14" customWidth="1"/>
    <col min="15365" max="15365" width="7.42578125" style="14" customWidth="1"/>
    <col min="15366" max="15366" width="11.42578125" style="14" customWidth="1"/>
    <col min="15367" max="15367" width="11" style="14" customWidth="1"/>
    <col min="15368" max="15616" width="8.7109375" style="14"/>
    <col min="15617" max="15617" width="8.140625" style="14" customWidth="1"/>
    <col min="15618" max="15618" width="10.85546875" style="14" customWidth="1"/>
    <col min="15619" max="15619" width="11.140625" style="14" customWidth="1"/>
    <col min="15620" max="15620" width="6.5703125" style="14" customWidth="1"/>
    <col min="15621" max="15621" width="7.42578125" style="14" customWidth="1"/>
    <col min="15622" max="15622" width="11.42578125" style="14" customWidth="1"/>
    <col min="15623" max="15623" width="11" style="14" customWidth="1"/>
    <col min="15624" max="15872" width="8.7109375" style="14"/>
    <col min="15873" max="15873" width="8.140625" style="14" customWidth="1"/>
    <col min="15874" max="15874" width="10.85546875" style="14" customWidth="1"/>
    <col min="15875" max="15875" width="11.140625" style="14" customWidth="1"/>
    <col min="15876" max="15876" width="6.5703125" style="14" customWidth="1"/>
    <col min="15877" max="15877" width="7.42578125" style="14" customWidth="1"/>
    <col min="15878" max="15878" width="11.42578125" style="14" customWidth="1"/>
    <col min="15879" max="15879" width="11" style="14" customWidth="1"/>
    <col min="15880" max="16128" width="8.7109375" style="14"/>
    <col min="16129" max="16129" width="8.140625" style="14" customWidth="1"/>
    <col min="16130" max="16130" width="10.85546875" style="14" customWidth="1"/>
    <col min="16131" max="16131" width="11.140625" style="14" customWidth="1"/>
    <col min="16132" max="16132" width="6.5703125" style="14" customWidth="1"/>
    <col min="16133" max="16133" width="7.42578125" style="14" customWidth="1"/>
    <col min="16134" max="16134" width="11.42578125" style="14" customWidth="1"/>
    <col min="16135" max="16135" width="11" style="14" customWidth="1"/>
    <col min="16136" max="16384" width="8.7109375" style="14"/>
  </cols>
  <sheetData>
    <row r="1" spans="1:7" ht="18.75" customHeight="1" x14ac:dyDescent="0.25">
      <c r="A1" s="8">
        <v>2024</v>
      </c>
      <c r="B1" s="9" t="s">
        <v>5</v>
      </c>
      <c r="C1" s="10"/>
      <c r="D1" s="10"/>
      <c r="E1" s="11"/>
      <c r="F1" s="12"/>
      <c r="G1" s="13"/>
    </row>
    <row r="2" spans="1:7" ht="7.5" customHeight="1" x14ac:dyDescent="0.2">
      <c r="A2" s="15"/>
      <c r="B2" s="16"/>
      <c r="C2" s="16"/>
      <c r="D2" s="16"/>
      <c r="E2" s="17"/>
      <c r="F2" s="18"/>
      <c r="G2" s="19"/>
    </row>
    <row r="3" spans="1:7" s="23" customFormat="1" ht="28.5" customHeight="1" x14ac:dyDescent="0.2">
      <c r="A3" s="20" t="s">
        <v>6</v>
      </c>
      <c r="B3" s="21" t="s">
        <v>7</v>
      </c>
      <c r="C3" s="21" t="s">
        <v>8</v>
      </c>
      <c r="D3" s="22"/>
      <c r="E3" s="20" t="s">
        <v>6</v>
      </c>
      <c r="F3" s="21" t="s">
        <v>9</v>
      </c>
      <c r="G3" s="21" t="s">
        <v>10</v>
      </c>
    </row>
    <row r="4" spans="1:7" ht="18.95" customHeight="1" x14ac:dyDescent="0.25">
      <c r="A4" s="24">
        <v>1</v>
      </c>
      <c r="B4" s="25">
        <f>DATE($A$1,1,1)</f>
        <v>45292</v>
      </c>
      <c r="C4" s="25">
        <f>IF(WEEKDAY(B4+0)=7,B4+0,IF(WEEKDAY(B4+1)=7,B4+1,IF(WEEKDAY(B4+2)=7,B4+2,IF(WEEKDAY(B4+3)=7,B4+3,IF(WEEKDAY(B4+4)=7,B4+4,IF(WEEKDAY(B4+5)=7,B4+5,IF(WEEKDAY(B4+6)=7,B4+6)))))))</f>
        <v>45297</v>
      </c>
      <c r="D4" s="26"/>
      <c r="E4" s="24">
        <f>IF(ISNUMBER(F4),A30+1," ")</f>
        <v>28</v>
      </c>
      <c r="F4" s="25">
        <f>IF(ISNUMBER(C30),IF(YEAR(C30+1)=$A$1,C30+1," ")," ")</f>
        <v>45480</v>
      </c>
      <c r="G4" s="25">
        <f t="shared" ref="G4:G30" si="0">IF(ISNUMBER(F4),IF(YEAR(F4+6)=$A$1,F4+6,DATE($A$1,12,31))," ")</f>
        <v>45486</v>
      </c>
    </row>
    <row r="5" spans="1:7" ht="18.95" customHeight="1" x14ac:dyDescent="0.25">
      <c r="A5" s="24">
        <f t="shared" ref="A5:A30" si="1">IF(ISNUMBER(B5),A4+1," ")</f>
        <v>2</v>
      </c>
      <c r="B5" s="25">
        <f t="shared" ref="B5:B30" si="2">IF(ISNUMBER(C4),IF(YEAR(C4+1)=$A$1,C4+1," ")," ")</f>
        <v>45298</v>
      </c>
      <c r="C5" s="25">
        <f t="shared" ref="C5:C30" si="3">IF(ISNUMBER(B5),IF(YEAR(B5+6)=$A$1,B5+6,DATE($A$1,12,31))," ")</f>
        <v>45304</v>
      </c>
      <c r="D5" s="26"/>
      <c r="E5" s="24">
        <f t="shared" ref="E5:E30" si="4">IF(ISNUMBER(F5),E4+1," ")</f>
        <v>29</v>
      </c>
      <c r="F5" s="25">
        <f t="shared" ref="F5:F30" si="5">IF(ISNUMBER(G4),IF(YEAR(G4+1)=$A$1,G4+1," ")," ")</f>
        <v>45487</v>
      </c>
      <c r="G5" s="25">
        <f t="shared" si="0"/>
        <v>45493</v>
      </c>
    </row>
    <row r="6" spans="1:7" ht="18.95" customHeight="1" x14ac:dyDescent="0.25">
      <c r="A6" s="24">
        <f t="shared" si="1"/>
        <v>3</v>
      </c>
      <c r="B6" s="25">
        <f t="shared" si="2"/>
        <v>45305</v>
      </c>
      <c r="C6" s="25">
        <f t="shared" si="3"/>
        <v>45311</v>
      </c>
      <c r="D6" s="26"/>
      <c r="E6" s="24">
        <f t="shared" si="4"/>
        <v>30</v>
      </c>
      <c r="F6" s="25">
        <f t="shared" si="5"/>
        <v>45494</v>
      </c>
      <c r="G6" s="25">
        <f t="shared" si="0"/>
        <v>45500</v>
      </c>
    </row>
    <row r="7" spans="1:7" ht="18.95" customHeight="1" x14ac:dyDescent="0.25">
      <c r="A7" s="24">
        <f t="shared" si="1"/>
        <v>4</v>
      </c>
      <c r="B7" s="25">
        <f t="shared" si="2"/>
        <v>45312</v>
      </c>
      <c r="C7" s="25">
        <f t="shared" si="3"/>
        <v>45318</v>
      </c>
      <c r="D7" s="26"/>
      <c r="E7" s="24">
        <f t="shared" si="4"/>
        <v>31</v>
      </c>
      <c r="F7" s="25">
        <f t="shared" si="5"/>
        <v>45501</v>
      </c>
      <c r="G7" s="25">
        <f t="shared" si="0"/>
        <v>45507</v>
      </c>
    </row>
    <row r="8" spans="1:7" ht="18.95" customHeight="1" x14ac:dyDescent="0.25">
      <c r="A8" s="24">
        <f t="shared" si="1"/>
        <v>5</v>
      </c>
      <c r="B8" s="25">
        <f t="shared" si="2"/>
        <v>45319</v>
      </c>
      <c r="C8" s="25">
        <f t="shared" si="3"/>
        <v>45325</v>
      </c>
      <c r="D8" s="26"/>
      <c r="E8" s="24">
        <f t="shared" si="4"/>
        <v>32</v>
      </c>
      <c r="F8" s="25">
        <f t="shared" si="5"/>
        <v>45508</v>
      </c>
      <c r="G8" s="25">
        <f t="shared" si="0"/>
        <v>45514</v>
      </c>
    </row>
    <row r="9" spans="1:7" ht="18.95" customHeight="1" x14ac:dyDescent="0.25">
      <c r="A9" s="24">
        <f t="shared" si="1"/>
        <v>6</v>
      </c>
      <c r="B9" s="25">
        <f t="shared" si="2"/>
        <v>45326</v>
      </c>
      <c r="C9" s="25">
        <f t="shared" si="3"/>
        <v>45332</v>
      </c>
      <c r="D9" s="26"/>
      <c r="E9" s="24">
        <f t="shared" si="4"/>
        <v>33</v>
      </c>
      <c r="F9" s="25">
        <f t="shared" si="5"/>
        <v>45515</v>
      </c>
      <c r="G9" s="25">
        <f t="shared" si="0"/>
        <v>45521</v>
      </c>
    </row>
    <row r="10" spans="1:7" ht="18.95" customHeight="1" x14ac:dyDescent="0.25">
      <c r="A10" s="24">
        <f t="shared" si="1"/>
        <v>7</v>
      </c>
      <c r="B10" s="25">
        <f t="shared" si="2"/>
        <v>45333</v>
      </c>
      <c r="C10" s="25">
        <f t="shared" si="3"/>
        <v>45339</v>
      </c>
      <c r="D10" s="26"/>
      <c r="E10" s="24">
        <f t="shared" si="4"/>
        <v>34</v>
      </c>
      <c r="F10" s="25">
        <f t="shared" si="5"/>
        <v>45522</v>
      </c>
      <c r="G10" s="25">
        <f t="shared" si="0"/>
        <v>45528</v>
      </c>
    </row>
    <row r="11" spans="1:7" ht="18.95" customHeight="1" x14ac:dyDescent="0.25">
      <c r="A11" s="24">
        <f t="shared" si="1"/>
        <v>8</v>
      </c>
      <c r="B11" s="25">
        <f t="shared" si="2"/>
        <v>45340</v>
      </c>
      <c r="C11" s="25">
        <f t="shared" si="3"/>
        <v>45346</v>
      </c>
      <c r="D11" s="26"/>
      <c r="E11" s="24">
        <f t="shared" si="4"/>
        <v>35</v>
      </c>
      <c r="F11" s="25">
        <f t="shared" si="5"/>
        <v>45529</v>
      </c>
      <c r="G11" s="25">
        <f t="shared" si="0"/>
        <v>45535</v>
      </c>
    </row>
    <row r="12" spans="1:7" ht="18.95" customHeight="1" x14ac:dyDescent="0.25">
      <c r="A12" s="24">
        <f t="shared" si="1"/>
        <v>9</v>
      </c>
      <c r="B12" s="25">
        <f t="shared" si="2"/>
        <v>45347</v>
      </c>
      <c r="C12" s="25">
        <f t="shared" si="3"/>
        <v>45353</v>
      </c>
      <c r="D12" s="26"/>
      <c r="E12" s="24">
        <f t="shared" si="4"/>
        <v>36</v>
      </c>
      <c r="F12" s="25">
        <f t="shared" si="5"/>
        <v>45536</v>
      </c>
      <c r="G12" s="25">
        <f t="shared" si="0"/>
        <v>45542</v>
      </c>
    </row>
    <row r="13" spans="1:7" ht="18.95" customHeight="1" x14ac:dyDescent="0.25">
      <c r="A13" s="24">
        <f t="shared" si="1"/>
        <v>10</v>
      </c>
      <c r="B13" s="25">
        <f t="shared" si="2"/>
        <v>45354</v>
      </c>
      <c r="C13" s="25">
        <f t="shared" si="3"/>
        <v>45360</v>
      </c>
      <c r="D13" s="26"/>
      <c r="E13" s="24">
        <f t="shared" si="4"/>
        <v>37</v>
      </c>
      <c r="F13" s="25">
        <f t="shared" si="5"/>
        <v>45543</v>
      </c>
      <c r="G13" s="25">
        <f t="shared" si="0"/>
        <v>45549</v>
      </c>
    </row>
    <row r="14" spans="1:7" ht="18.95" customHeight="1" x14ac:dyDescent="0.25">
      <c r="A14" s="24">
        <f t="shared" si="1"/>
        <v>11</v>
      </c>
      <c r="B14" s="25">
        <f t="shared" si="2"/>
        <v>45361</v>
      </c>
      <c r="C14" s="25">
        <f t="shared" si="3"/>
        <v>45367</v>
      </c>
      <c r="D14" s="26"/>
      <c r="E14" s="24">
        <f t="shared" si="4"/>
        <v>38</v>
      </c>
      <c r="F14" s="25">
        <f t="shared" si="5"/>
        <v>45550</v>
      </c>
      <c r="G14" s="25">
        <f t="shared" si="0"/>
        <v>45556</v>
      </c>
    </row>
    <row r="15" spans="1:7" ht="18.95" customHeight="1" x14ac:dyDescent="0.25">
      <c r="A15" s="24">
        <f t="shared" si="1"/>
        <v>12</v>
      </c>
      <c r="B15" s="25">
        <f t="shared" si="2"/>
        <v>45368</v>
      </c>
      <c r="C15" s="25">
        <f t="shared" si="3"/>
        <v>45374</v>
      </c>
      <c r="D15" s="26"/>
      <c r="E15" s="24">
        <f t="shared" si="4"/>
        <v>39</v>
      </c>
      <c r="F15" s="25">
        <f t="shared" si="5"/>
        <v>45557</v>
      </c>
      <c r="G15" s="25">
        <f t="shared" si="0"/>
        <v>45563</v>
      </c>
    </row>
    <row r="16" spans="1:7" ht="18.95" customHeight="1" x14ac:dyDescent="0.25">
      <c r="A16" s="24">
        <f t="shared" si="1"/>
        <v>13</v>
      </c>
      <c r="B16" s="25">
        <f t="shared" si="2"/>
        <v>45375</v>
      </c>
      <c r="C16" s="25">
        <f t="shared" si="3"/>
        <v>45381</v>
      </c>
      <c r="D16" s="26"/>
      <c r="E16" s="24">
        <f t="shared" si="4"/>
        <v>40</v>
      </c>
      <c r="F16" s="25">
        <f t="shared" si="5"/>
        <v>45564</v>
      </c>
      <c r="G16" s="25">
        <f t="shared" si="0"/>
        <v>45570</v>
      </c>
    </row>
    <row r="17" spans="1:7" ht="18.95" customHeight="1" x14ac:dyDescent="0.25">
      <c r="A17" s="24">
        <f t="shared" si="1"/>
        <v>14</v>
      </c>
      <c r="B17" s="25">
        <f t="shared" si="2"/>
        <v>45382</v>
      </c>
      <c r="C17" s="25">
        <f t="shared" si="3"/>
        <v>45388</v>
      </c>
      <c r="D17" s="26"/>
      <c r="E17" s="24">
        <f t="shared" si="4"/>
        <v>41</v>
      </c>
      <c r="F17" s="25">
        <f t="shared" si="5"/>
        <v>45571</v>
      </c>
      <c r="G17" s="25">
        <f t="shared" si="0"/>
        <v>45577</v>
      </c>
    </row>
    <row r="18" spans="1:7" ht="18.95" customHeight="1" x14ac:dyDescent="0.25">
      <c r="A18" s="24">
        <f t="shared" si="1"/>
        <v>15</v>
      </c>
      <c r="B18" s="25">
        <f t="shared" si="2"/>
        <v>45389</v>
      </c>
      <c r="C18" s="25">
        <f t="shared" si="3"/>
        <v>45395</v>
      </c>
      <c r="D18" s="26"/>
      <c r="E18" s="24">
        <f t="shared" si="4"/>
        <v>42</v>
      </c>
      <c r="F18" s="25">
        <f t="shared" si="5"/>
        <v>45578</v>
      </c>
      <c r="G18" s="25">
        <f t="shared" si="0"/>
        <v>45584</v>
      </c>
    </row>
    <row r="19" spans="1:7" ht="18.95" customHeight="1" x14ac:dyDescent="0.25">
      <c r="A19" s="24">
        <f t="shared" si="1"/>
        <v>16</v>
      </c>
      <c r="B19" s="25">
        <f t="shared" si="2"/>
        <v>45396</v>
      </c>
      <c r="C19" s="25">
        <f t="shared" si="3"/>
        <v>45402</v>
      </c>
      <c r="D19" s="26"/>
      <c r="E19" s="24">
        <f t="shared" si="4"/>
        <v>43</v>
      </c>
      <c r="F19" s="25">
        <f t="shared" si="5"/>
        <v>45585</v>
      </c>
      <c r="G19" s="25">
        <f t="shared" si="0"/>
        <v>45591</v>
      </c>
    </row>
    <row r="20" spans="1:7" ht="18.95" customHeight="1" x14ac:dyDescent="0.25">
      <c r="A20" s="24">
        <f t="shared" si="1"/>
        <v>17</v>
      </c>
      <c r="B20" s="25">
        <f t="shared" si="2"/>
        <v>45403</v>
      </c>
      <c r="C20" s="25">
        <f t="shared" si="3"/>
        <v>45409</v>
      </c>
      <c r="D20" s="26"/>
      <c r="E20" s="24">
        <f t="shared" si="4"/>
        <v>44</v>
      </c>
      <c r="F20" s="25">
        <f t="shared" si="5"/>
        <v>45592</v>
      </c>
      <c r="G20" s="25">
        <f t="shared" si="0"/>
        <v>45598</v>
      </c>
    </row>
    <row r="21" spans="1:7" ht="18.95" customHeight="1" x14ac:dyDescent="0.25">
      <c r="A21" s="24">
        <f t="shared" si="1"/>
        <v>18</v>
      </c>
      <c r="B21" s="25">
        <f t="shared" si="2"/>
        <v>45410</v>
      </c>
      <c r="C21" s="25">
        <f t="shared" si="3"/>
        <v>45416</v>
      </c>
      <c r="D21" s="26"/>
      <c r="E21" s="24">
        <f t="shared" si="4"/>
        <v>45</v>
      </c>
      <c r="F21" s="25">
        <f t="shared" si="5"/>
        <v>45599</v>
      </c>
      <c r="G21" s="25">
        <f t="shared" si="0"/>
        <v>45605</v>
      </c>
    </row>
    <row r="22" spans="1:7" ht="18.95" customHeight="1" x14ac:dyDescent="0.25">
      <c r="A22" s="24">
        <f t="shared" si="1"/>
        <v>19</v>
      </c>
      <c r="B22" s="25">
        <f t="shared" si="2"/>
        <v>45417</v>
      </c>
      <c r="C22" s="25">
        <f t="shared" si="3"/>
        <v>45423</v>
      </c>
      <c r="D22" s="26"/>
      <c r="E22" s="24">
        <f t="shared" si="4"/>
        <v>46</v>
      </c>
      <c r="F22" s="25">
        <f t="shared" si="5"/>
        <v>45606</v>
      </c>
      <c r="G22" s="25">
        <f t="shared" si="0"/>
        <v>45612</v>
      </c>
    </row>
    <row r="23" spans="1:7" ht="18.95" customHeight="1" x14ac:dyDescent="0.25">
      <c r="A23" s="24">
        <f t="shared" si="1"/>
        <v>20</v>
      </c>
      <c r="B23" s="25">
        <f t="shared" si="2"/>
        <v>45424</v>
      </c>
      <c r="C23" s="25">
        <f t="shared" si="3"/>
        <v>45430</v>
      </c>
      <c r="D23" s="26"/>
      <c r="E23" s="24">
        <f t="shared" si="4"/>
        <v>47</v>
      </c>
      <c r="F23" s="25">
        <f t="shared" si="5"/>
        <v>45613</v>
      </c>
      <c r="G23" s="25">
        <f t="shared" si="0"/>
        <v>45619</v>
      </c>
    </row>
    <row r="24" spans="1:7" ht="18.95" customHeight="1" x14ac:dyDescent="0.25">
      <c r="A24" s="24">
        <f t="shared" si="1"/>
        <v>21</v>
      </c>
      <c r="B24" s="25">
        <f t="shared" si="2"/>
        <v>45431</v>
      </c>
      <c r="C24" s="25">
        <f t="shared" si="3"/>
        <v>45437</v>
      </c>
      <c r="D24" s="26"/>
      <c r="E24" s="24">
        <f t="shared" si="4"/>
        <v>48</v>
      </c>
      <c r="F24" s="25">
        <f t="shared" si="5"/>
        <v>45620</v>
      </c>
      <c r="G24" s="25">
        <f t="shared" si="0"/>
        <v>45626</v>
      </c>
    </row>
    <row r="25" spans="1:7" ht="18.95" customHeight="1" x14ac:dyDescent="0.25">
      <c r="A25" s="24">
        <f t="shared" si="1"/>
        <v>22</v>
      </c>
      <c r="B25" s="25">
        <f t="shared" si="2"/>
        <v>45438</v>
      </c>
      <c r="C25" s="25">
        <f t="shared" si="3"/>
        <v>45444</v>
      </c>
      <c r="D25" s="26"/>
      <c r="E25" s="24">
        <f t="shared" si="4"/>
        <v>49</v>
      </c>
      <c r="F25" s="25">
        <f t="shared" si="5"/>
        <v>45627</v>
      </c>
      <c r="G25" s="25">
        <f t="shared" si="0"/>
        <v>45633</v>
      </c>
    </row>
    <row r="26" spans="1:7" ht="18.95" customHeight="1" x14ac:dyDescent="0.25">
      <c r="A26" s="24">
        <f t="shared" si="1"/>
        <v>23</v>
      </c>
      <c r="B26" s="25">
        <f t="shared" si="2"/>
        <v>45445</v>
      </c>
      <c r="C26" s="25">
        <f t="shared" si="3"/>
        <v>45451</v>
      </c>
      <c r="D26" s="26"/>
      <c r="E26" s="24">
        <f t="shared" si="4"/>
        <v>50</v>
      </c>
      <c r="F26" s="25">
        <f t="shared" si="5"/>
        <v>45634</v>
      </c>
      <c r="G26" s="25">
        <f t="shared" si="0"/>
        <v>45640</v>
      </c>
    </row>
    <row r="27" spans="1:7" ht="18.95" customHeight="1" x14ac:dyDescent="0.25">
      <c r="A27" s="24">
        <f t="shared" si="1"/>
        <v>24</v>
      </c>
      <c r="B27" s="25">
        <f t="shared" si="2"/>
        <v>45452</v>
      </c>
      <c r="C27" s="25">
        <f t="shared" si="3"/>
        <v>45458</v>
      </c>
      <c r="D27" s="26"/>
      <c r="E27" s="24">
        <f t="shared" si="4"/>
        <v>51</v>
      </c>
      <c r="F27" s="25">
        <f t="shared" si="5"/>
        <v>45641</v>
      </c>
      <c r="G27" s="25">
        <f t="shared" si="0"/>
        <v>45647</v>
      </c>
    </row>
    <row r="28" spans="1:7" ht="18.95" customHeight="1" x14ac:dyDescent="0.25">
      <c r="A28" s="24">
        <f t="shared" si="1"/>
        <v>25</v>
      </c>
      <c r="B28" s="25">
        <f t="shared" si="2"/>
        <v>45459</v>
      </c>
      <c r="C28" s="25">
        <f t="shared" si="3"/>
        <v>45465</v>
      </c>
      <c r="D28" s="26"/>
      <c r="E28" s="24">
        <f t="shared" si="4"/>
        <v>52</v>
      </c>
      <c r="F28" s="25">
        <f t="shared" si="5"/>
        <v>45648</v>
      </c>
      <c r="G28" s="25">
        <f t="shared" si="0"/>
        <v>45654</v>
      </c>
    </row>
    <row r="29" spans="1:7" ht="18.95" customHeight="1" x14ac:dyDescent="0.25">
      <c r="A29" s="24">
        <f t="shared" si="1"/>
        <v>26</v>
      </c>
      <c r="B29" s="25">
        <f t="shared" si="2"/>
        <v>45466</v>
      </c>
      <c r="C29" s="25">
        <f t="shared" si="3"/>
        <v>45472</v>
      </c>
      <c r="D29" s="26"/>
      <c r="E29" s="24">
        <f t="shared" si="4"/>
        <v>53</v>
      </c>
      <c r="F29" s="25">
        <f t="shared" si="5"/>
        <v>45655</v>
      </c>
      <c r="G29" s="25">
        <f t="shared" si="0"/>
        <v>45657</v>
      </c>
    </row>
    <row r="30" spans="1:7" ht="18.95" customHeight="1" x14ac:dyDescent="0.25">
      <c r="A30" s="24">
        <f t="shared" si="1"/>
        <v>27</v>
      </c>
      <c r="B30" s="25">
        <f t="shared" si="2"/>
        <v>45473</v>
      </c>
      <c r="C30" s="25">
        <f t="shared" si="3"/>
        <v>45479</v>
      </c>
      <c r="D30" s="26"/>
      <c r="E30" s="24" t="str">
        <f t="shared" si="4"/>
        <v xml:space="preserve"> </v>
      </c>
      <c r="F30" s="25" t="str">
        <f t="shared" si="5"/>
        <v xml:space="preserve"> </v>
      </c>
      <c r="G30" s="25" t="str">
        <f t="shared" si="0"/>
        <v xml:space="preserve"> </v>
      </c>
    </row>
  </sheetData>
  <printOptions horizontalCentered="1" verticalCentered="1" gridLines="1"/>
  <pageMargins left="0.75" right="0.75" top="0.28000000000000003" bottom="0.23" header="0.18" footer="0.18"/>
  <pageSetup scale="135" orientation="portrait" r:id="rId1"/>
  <headerFooter alignWithMargins="0"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Modified StatWeek</vt:lpstr>
      <vt:lpstr>NumericWeekCount</vt:lpstr>
      <vt:lpstr>NumericWeekCount!Print_Area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DFO-MPO</dc:creator>
  <cp:lastModifiedBy>Warkentin, Luke (he, him / il, lui) (DFO/MPO)</cp:lastModifiedBy>
  <dcterms:created xsi:type="dcterms:W3CDTF">2021-10-19T18:35:30Z</dcterms:created>
  <dcterms:modified xsi:type="dcterms:W3CDTF">2026-02-12T19:46:15Z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2026-02-12T19:46:15Z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9438ca6f-7f3d-4462-8d55-28fe11ece6a3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