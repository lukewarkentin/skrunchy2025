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BE37A6E9-11DD-42FC-A3FF-3D8249269507}" xr6:coauthVersionLast="47" xr6:coauthVersionMax="47" xr10:uidLastSave="{00000000-0000-0000-0000-000000000000}"/>
  <bookViews>
    <workbookView xWindow="-1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1" l="1"/>
  <c r="J47" i="1"/>
  <c r="K46" i="1"/>
  <c r="J46" i="1"/>
  <c r="M46" i="1" s="1"/>
  <c r="E46" i="1"/>
  <c r="E47" i="1"/>
  <c r="E48" i="1"/>
  <c r="E42" i="1"/>
  <c r="E43" i="1"/>
  <c r="E44" i="1"/>
  <c r="E45" i="1"/>
  <c r="L25" i="1"/>
  <c r="L24" i="1"/>
  <c r="L27" i="1"/>
  <c r="L20" i="1"/>
  <c r="M33" i="1"/>
  <c r="M26" i="1"/>
  <c r="M36" i="1"/>
  <c r="M37" i="1"/>
  <c r="M38" i="1"/>
  <c r="M39" i="1"/>
  <c r="M40" i="1"/>
  <c r="M41" i="1"/>
  <c r="M42" i="1"/>
  <c r="M43" i="1"/>
  <c r="M44" i="1"/>
  <c r="M45" i="1"/>
  <c r="K45" i="1"/>
  <c r="J45" i="1"/>
  <c r="K44" i="1"/>
  <c r="J44" i="1"/>
  <c r="K43" i="1"/>
  <c r="J43" i="1"/>
  <c r="L26" i="1"/>
  <c r="E26" i="1"/>
  <c r="E25" i="1"/>
  <c r="G35" i="1"/>
  <c r="G34" i="1"/>
  <c r="L33" i="1"/>
  <c r="G32" i="1"/>
  <c r="G33" i="1"/>
  <c r="L40" i="1"/>
  <c r="L38" i="1"/>
  <c r="L37" i="1"/>
  <c r="K40" i="1"/>
  <c r="J40" i="1"/>
  <c r="K42" i="1"/>
  <c r="J42" i="1"/>
  <c r="L44" i="1"/>
  <c r="L45" i="1"/>
  <c r="L46" i="1"/>
  <c r="L47" i="1"/>
  <c r="L48" i="1"/>
  <c r="L43" i="1"/>
  <c r="K48" i="1"/>
  <c r="J48" i="1"/>
  <c r="M48" i="1" s="1"/>
  <c r="M25" i="1"/>
  <c r="L30" i="1"/>
  <c r="L28" i="1"/>
  <c r="M47" i="1" l="1"/>
  <c r="L29" i="1"/>
  <c r="L31" i="1"/>
  <c r="L32" i="1"/>
  <c r="L34" i="1"/>
  <c r="M35" i="1"/>
  <c r="L35" i="1"/>
  <c r="F6" i="1"/>
  <c r="G6" i="1" s="1"/>
  <c r="G24" i="1"/>
  <c r="F18" i="1"/>
  <c r="L18" i="1" s="1"/>
  <c r="F12" i="1"/>
  <c r="L12" i="1" s="1"/>
  <c r="L21" i="1"/>
  <c r="M9" i="1"/>
  <c r="E34" i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7" i="1"/>
  <c r="M28" i="1"/>
  <c r="M29" i="1"/>
  <c r="M30" i="1"/>
  <c r="M31" i="1"/>
  <c r="M32" i="1"/>
  <c r="M34" i="1"/>
  <c r="M2" i="1"/>
  <c r="L22" i="1"/>
  <c r="L23" i="1"/>
  <c r="L36" i="1"/>
  <c r="L39" i="1"/>
  <c r="L41" i="1"/>
  <c r="L42" i="1"/>
  <c r="D43" i="1"/>
  <c r="D42" i="1"/>
  <c r="E41" i="1"/>
  <c r="D41" i="1"/>
  <c r="G40" i="1"/>
  <c r="E40" i="1" s="1"/>
  <c r="D40" i="1"/>
  <c r="G39" i="1"/>
  <c r="E39" i="1" s="1"/>
  <c r="D39" i="1"/>
  <c r="G38" i="1"/>
  <c r="D38" i="1"/>
  <c r="G37" i="1"/>
  <c r="E37" i="1" s="1"/>
  <c r="D37" i="1"/>
  <c r="G36" i="1"/>
  <c r="D36" i="1"/>
  <c r="D35" i="1"/>
  <c r="D34" i="1"/>
  <c r="D33" i="1"/>
  <c r="D32" i="1"/>
  <c r="G31" i="1"/>
  <c r="D31" i="1"/>
  <c r="E30" i="1"/>
  <c r="D30" i="1"/>
  <c r="G29" i="1"/>
  <c r="D29" i="1"/>
  <c r="G28" i="1"/>
  <c r="D28" i="1"/>
  <c r="G27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L11" i="1" s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G11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</calcChain>
</file>

<file path=xl/sharedStrings.xml><?xml version="1.0" encoding="utf-8"?>
<sst xmlns="http://schemas.openxmlformats.org/spreadsheetml/2006/main" count="115" uniqueCount="48">
  <si>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</si>
  <si>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</si>
  <si>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</si>
  <si>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</si>
  <si>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</si>
  <si>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</si>
  <si>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</si>
  <si>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</si>
  <si>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</si>
  <si>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</si>
  <si>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</si>
  <si>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</si>
  <si>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</si>
  <si>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</si>
  <si>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</si>
  <si>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</si>
  <si>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</si>
  <si>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</si>
  <si>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</si>
  <si>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</si>
  <si>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</si>
  <si>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</si>
  <si>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</si>
  <si>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</si>
  <si>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</si>
  <si>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</si>
  <si>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</si>
  <si>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</si>
  <si>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</si>
  <si>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Source</t>
  </si>
  <si>
    <t>Winther et al. 2024</t>
  </si>
  <si>
    <t>LW: 2021-2024 are all place-holders (except for Tyee catch which is correct)</t>
  </si>
  <si>
    <t>LW: Double check rec catch above Terrace for 2002, 2003, 2007</t>
  </si>
  <si>
    <t>LW, FN catch above Terrace from AFS</t>
  </si>
  <si>
    <t>Creel survey?</t>
  </si>
  <si>
    <t>FN catch below Terrace of 1000 is placeholder</t>
  </si>
  <si>
    <t>Below Terrace, LGL and Kitsumkalum</t>
  </si>
  <si>
    <t>Estimated sport above Terrace = 20% of below Terrace</t>
  </si>
  <si>
    <t>Data notes</t>
  </si>
  <si>
    <t xml:space="preserve">Robichaud et al. 2020, Tables 13, 15 </t>
  </si>
  <si>
    <t>Robichaud et al. 2018, Tables 15, 17</t>
  </si>
  <si>
    <t xml:space="preserve">Robichaud et al. 2021, Tables 13, 15 </t>
  </si>
  <si>
    <t>Robichaud et al. 2022, Tables 13, 15</t>
  </si>
  <si>
    <t>Robichaud et al. 2024, Tables 12, 14</t>
  </si>
  <si>
    <t>Robichaud et al. 2023, Tables 12, 14</t>
  </si>
  <si>
    <t>Robichaud et al. 2025, Tables 13, 15</t>
  </si>
  <si>
    <t>Robichaud et al. 2026, Tables 13. 15</t>
  </si>
  <si>
    <t xml:space="preserve"> FW Sport source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</si>
</sst>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  <xf numFmtId="1" fontId="0" fillId="0" borderId="0" xfId="0" applyNumberFormat="1"/>
    <xf numFmtId="3" fontId="2" fillId="8" borderId="0" xfId="1" applyNumberFormat="1" applyFont="1" applyFill="1"/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J190"/>
  <sheetViews>
    <sheetView tabSelected="1" workbookViewId="0">
      <pane ySplit="1" topLeftCell="A20" activePane="bottomLeft" state="frozen"/>
      <selection pane="bottomLeft" activeCell="A43" sqref="A43:XFD43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34.42578125" style="1" customWidth="1"/>
    <col min="17" max="17" width="33.42578125" style="1" customWidth="1"/>
    <col min="18" max="18" width="32.5703125" style="1" customWidth="1"/>
    <col min="19" max="19" width="24.140625" style="1" customWidth="1"/>
    <col min="20" max="23" width="7.5703125" style="1" customWidth="1"/>
    <col min="24" max="25" width="8.85546875" style="1" customWidth="1"/>
    <col min="26" max="29" width="7.5703125" style="1" customWidth="1"/>
    <col min="30" max="30" width="8.140625" style="1" customWidth="1"/>
    <col min="31" max="44" width="8.7109375" style="1"/>
    <col min="45" max="45" width="5.42578125" style="1" bestFit="1" customWidth="1"/>
    <col min="46" max="46" width="8.7109375" style="1"/>
    <col min="47" max="47" width="5.42578125" style="1" bestFit="1" customWidth="1"/>
    <col min="48" max="48" width="8.7109375" style="1"/>
    <col min="49" max="49" width="5.42578125" style="1" bestFit="1" customWidth="1"/>
    <col min="50" max="50" width="8.7109375" style="1"/>
    <col min="51" max="51" width="5.42578125" style="1" bestFit="1" customWidth="1"/>
    <col min="52" max="52" width="8.7109375" style="1"/>
    <col min="53" max="54" width="4.85546875" style="1" bestFit="1" customWidth="1"/>
    <col min="55" max="55" width="5.85546875" style="1" bestFit="1" customWidth="1"/>
    <col min="56" max="56" width="7.5703125" style="1" bestFit="1" customWidth="1"/>
    <col min="57" max="58" width="8.7109375" style="1"/>
    <col min="59" max="59" width="4.85546875" style="1" bestFit="1" customWidth="1"/>
    <col min="60" max="60" width="3.85546875" style="1" bestFit="1" customWidth="1"/>
    <col min="61" max="61" width="7" style="1" bestFit="1" customWidth="1"/>
    <col min="62" max="62" width="7.5703125" style="1" bestFit="1" customWidth="1"/>
    <col min="63" max="16384" width="8.7109375" style="1"/>
  </cols>
  <sheetData>
    <row r="1" spans="1:62" s="4" customFormat="1" ht="72" x14ac:dyDescent="0.2">
      <c r="A1" s="24" t="s">
        <v>0</v>
      </c>
      <c r="B1" s="2" t="s">
        <v>1</v>
      </c>
      <c r="C1" s="2" t="s">
        <v>2</v>
      </c>
      <c r="D1" s="25" t="s">
        <v>3</v>
      </c>
      <c r="E1" s="2" t="s">
        <v>4</v>
      </c>
      <c r="F1" s="18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 t="s">
        <v>25</v>
      </c>
      <c r="M1" s="26" t="s">
        <v>26</v>
      </c>
      <c r="N1" s="25" t="s">
        <v>11</v>
      </c>
      <c r="O1" s="25" t="s">
        <v>12</v>
      </c>
      <c r="P1" s="2" t="s">
        <v>29</v>
      </c>
      <c r="Q1" s="2" t="s">
        <v>47</v>
      </c>
      <c r="R1" s="18" t="s">
        <v>34</v>
      </c>
      <c r="S1" s="18" t="s">
        <v>38</v>
      </c>
      <c r="T1" s="18"/>
      <c r="U1" s="20"/>
      <c r="V1" s="18"/>
      <c r="W1" s="20"/>
      <c r="X1" s="18"/>
      <c r="Y1" s="20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21"/>
      <c r="AT1" s="21"/>
      <c r="AU1" s="21"/>
      <c r="AV1" s="21"/>
      <c r="AW1" s="21"/>
      <c r="AX1" s="21"/>
      <c r="AY1" s="21"/>
      <c r="AZ1" s="21"/>
      <c r="BA1" s="21"/>
      <c r="BB1" s="19"/>
      <c r="BC1" s="19"/>
      <c r="BD1" s="19"/>
      <c r="BE1" s="1"/>
    </row>
    <row r="2" spans="1:62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3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v>1343</v>
      </c>
      <c r="O2" s="7">
        <v>2500</v>
      </c>
      <c r="P2" s="7" t="s">
        <v>30</v>
      </c>
      <c r="Q2" s="7"/>
      <c r="R2" s="7"/>
      <c r="S2" s="7"/>
      <c r="T2" s="7"/>
      <c r="U2" s="7"/>
      <c r="V2" s="7"/>
      <c r="W2" s="7"/>
      <c r="X2" s="7"/>
      <c r="Y2" s="7"/>
      <c r="Z2" s="8"/>
      <c r="AA2" s="8"/>
      <c r="AB2" s="8"/>
      <c r="AC2" s="8"/>
      <c r="AD2" s="8"/>
      <c r="AE2" s="7"/>
      <c r="AF2" s="7"/>
      <c r="AG2" s="7"/>
      <c r="AH2" s="7"/>
      <c r="AI2" s="7"/>
      <c r="AJ2" s="7"/>
      <c r="AK2" s="9"/>
      <c r="AM2" s="7"/>
      <c r="AN2" s="7"/>
      <c r="AO2" s="7"/>
      <c r="AP2" s="7"/>
      <c r="AQ2" s="7"/>
      <c r="AR2" s="7"/>
      <c r="AT2" s="7"/>
      <c r="AV2" s="7"/>
      <c r="AX2" s="7"/>
      <c r="AZ2" s="7"/>
      <c r="BE2" s="7"/>
    </row>
    <row r="3" spans="1:62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7" si="4">SUM(J3,K3)</f>
        <v>0</v>
      </c>
      <c r="N3" s="1">
        <v>2600</v>
      </c>
      <c r="O3" s="7">
        <v>6060</v>
      </c>
      <c r="P3" s="7" t="s">
        <v>30</v>
      </c>
      <c r="Q3" s="7"/>
      <c r="R3" s="5"/>
      <c r="S3" s="5"/>
      <c r="T3" s="5"/>
      <c r="U3" s="7"/>
      <c r="V3" s="7"/>
      <c r="W3" s="7"/>
      <c r="X3" s="7"/>
      <c r="Y3" s="7"/>
      <c r="Z3" s="8"/>
      <c r="AA3" s="8"/>
      <c r="AB3" s="8"/>
      <c r="AC3" s="8"/>
      <c r="AD3" s="8"/>
      <c r="AE3" s="7"/>
      <c r="AF3" s="7"/>
      <c r="AG3" s="7"/>
      <c r="AH3" s="7"/>
      <c r="AI3" s="7"/>
      <c r="AJ3" s="7"/>
      <c r="AK3" s="9"/>
      <c r="AM3" s="7"/>
      <c r="AN3" s="7"/>
      <c r="AO3" s="7"/>
      <c r="AP3" s="7"/>
      <c r="AQ3" s="7"/>
      <c r="AR3" s="7"/>
      <c r="AT3" s="7"/>
      <c r="AV3" s="7"/>
      <c r="AX3" s="7"/>
      <c r="AZ3" s="7"/>
      <c r="BE3" s="7"/>
    </row>
    <row r="4" spans="1:62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1">
        <v>2280</v>
      </c>
      <c r="O4" s="7">
        <v>7621</v>
      </c>
      <c r="P4" s="7" t="s">
        <v>30</v>
      </c>
      <c r="Q4" s="7"/>
      <c r="R4" s="5"/>
      <c r="S4" s="5"/>
      <c r="T4" s="5"/>
      <c r="U4" s="7"/>
      <c r="V4" s="7"/>
      <c r="W4" s="7"/>
      <c r="X4" s="7"/>
      <c r="Y4" s="7"/>
      <c r="Z4" s="8"/>
      <c r="AA4" s="8"/>
      <c r="AB4" s="8"/>
      <c r="AC4" s="8"/>
      <c r="AD4" s="8"/>
      <c r="AE4" s="7"/>
      <c r="AF4" s="7"/>
      <c r="AG4" s="7"/>
      <c r="AH4" s="7"/>
      <c r="AI4" s="7"/>
      <c r="AJ4" s="7"/>
      <c r="AK4" s="9"/>
      <c r="AM4" s="7"/>
      <c r="AN4" s="7"/>
      <c r="AO4" s="7"/>
      <c r="AP4" s="7"/>
      <c r="AQ4" s="7"/>
      <c r="AR4" s="7"/>
      <c r="AT4" s="7"/>
      <c r="AV4" s="7"/>
      <c r="AX4" s="7"/>
      <c r="AZ4" s="7"/>
      <c r="BE4" s="7"/>
    </row>
    <row r="5" spans="1:62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1">
        <v>2500</v>
      </c>
      <c r="O5" s="7">
        <v>9200</v>
      </c>
      <c r="P5" s="7" t="s">
        <v>30</v>
      </c>
      <c r="Q5" s="7"/>
      <c r="R5" s="5"/>
      <c r="S5" s="5"/>
      <c r="T5" s="5"/>
      <c r="U5" s="7"/>
      <c r="V5" s="7"/>
      <c r="W5" s="7"/>
      <c r="X5" s="7"/>
      <c r="Y5" s="7"/>
      <c r="Z5" s="8"/>
      <c r="AA5" s="8"/>
      <c r="AB5" s="8"/>
      <c r="AC5" s="8"/>
      <c r="AD5" s="8"/>
      <c r="AE5" s="7"/>
      <c r="AF5" s="7"/>
      <c r="AG5" s="7"/>
      <c r="AH5" s="7"/>
      <c r="AI5" s="7"/>
      <c r="AJ5" s="7"/>
      <c r="AK5" s="9"/>
      <c r="AM5" s="7"/>
      <c r="AN5" s="7"/>
      <c r="AO5" s="7"/>
      <c r="AP5" s="7"/>
      <c r="AQ5" s="7"/>
      <c r="AR5" s="7"/>
      <c r="AT5" s="7"/>
      <c r="AV5" s="7"/>
      <c r="AX5" s="7"/>
      <c r="AZ5" s="7"/>
      <c r="BE5" s="7"/>
    </row>
    <row r="6" spans="1:62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>ROUND((E6*2/3),0)</f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1">
        <v>1976</v>
      </c>
      <c r="O6" s="7">
        <v>8300</v>
      </c>
      <c r="P6" s="7" t="s">
        <v>30</v>
      </c>
      <c r="Q6" s="7"/>
      <c r="R6" s="5"/>
      <c r="S6" s="5"/>
      <c r="T6" s="5"/>
      <c r="U6" s="7"/>
      <c r="V6" s="7"/>
      <c r="W6" s="7"/>
      <c r="X6" s="7"/>
      <c r="Y6" s="7"/>
      <c r="Z6" s="8"/>
      <c r="AA6" s="8"/>
      <c r="AB6" s="8"/>
      <c r="AC6" s="8"/>
      <c r="AD6" s="8"/>
      <c r="AE6" s="7"/>
      <c r="AF6" s="7"/>
      <c r="AG6" s="7"/>
      <c r="AH6" s="7"/>
      <c r="AI6" s="7"/>
      <c r="AJ6" s="7"/>
      <c r="AK6" s="9"/>
      <c r="AM6" s="7"/>
      <c r="AN6" s="7"/>
      <c r="AO6" s="7"/>
      <c r="AP6" s="7"/>
      <c r="AQ6" s="7"/>
      <c r="AR6" s="7"/>
      <c r="AT6" s="7"/>
      <c r="AV6" s="7"/>
      <c r="AX6" s="7"/>
      <c r="AZ6" s="7"/>
      <c r="BE6" s="7"/>
      <c r="BJ6" s="7"/>
    </row>
    <row r="7" spans="1:62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>SUM(F7,H7,I7)</f>
        <v>1984</v>
      </c>
      <c r="M7" s="23">
        <f t="shared" si="4"/>
        <v>0</v>
      </c>
      <c r="N7" s="1">
        <v>1568</v>
      </c>
      <c r="O7" s="7">
        <v>7900</v>
      </c>
      <c r="P7" s="7" t="s">
        <v>30</v>
      </c>
      <c r="Q7" s="7"/>
      <c r="R7" s="5"/>
      <c r="S7" s="5"/>
      <c r="T7" s="5"/>
      <c r="U7" s="7"/>
      <c r="V7" s="7"/>
      <c r="W7" s="7"/>
      <c r="X7" s="7"/>
      <c r="Y7" s="7"/>
      <c r="Z7" s="8"/>
      <c r="AA7" s="8"/>
      <c r="AB7" s="8"/>
      <c r="AC7" s="8"/>
      <c r="AD7" s="8"/>
      <c r="AE7" s="7"/>
      <c r="AF7" s="7"/>
      <c r="AG7" s="7"/>
      <c r="AH7" s="7"/>
      <c r="AI7" s="7"/>
      <c r="AJ7" s="7"/>
      <c r="AK7" s="9"/>
      <c r="AM7" s="7"/>
      <c r="AN7" s="7"/>
      <c r="AO7" s="7"/>
      <c r="AP7" s="7"/>
      <c r="AQ7" s="7"/>
      <c r="AR7" s="7"/>
      <c r="AT7" s="7"/>
      <c r="AV7" s="7"/>
      <c r="AX7" s="7"/>
      <c r="AZ7" s="7"/>
      <c r="BE7" s="7"/>
      <c r="BJ7" s="7"/>
    </row>
    <row r="8" spans="1:62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1">
        <v>3130</v>
      </c>
      <c r="O8" s="7">
        <v>10300</v>
      </c>
      <c r="P8" s="7" t="s">
        <v>30</v>
      </c>
      <c r="Q8" s="7"/>
      <c r="R8" s="5"/>
      <c r="S8" s="5"/>
      <c r="T8" s="5"/>
      <c r="U8" s="7"/>
      <c r="V8" s="7"/>
      <c r="W8" s="7"/>
      <c r="X8" s="7"/>
      <c r="Y8" s="7"/>
      <c r="Z8" s="8"/>
      <c r="AA8" s="8"/>
      <c r="AB8" s="8"/>
      <c r="AC8" s="8"/>
      <c r="AD8" s="8"/>
      <c r="AE8" s="7"/>
      <c r="AF8" s="7"/>
      <c r="AG8" s="7"/>
      <c r="AH8" s="7"/>
      <c r="AI8" s="7"/>
      <c r="AJ8" s="7"/>
      <c r="AK8" s="9"/>
      <c r="AM8" s="7"/>
      <c r="AN8" s="7"/>
      <c r="AO8" s="7"/>
      <c r="AP8" s="7"/>
      <c r="AQ8" s="7"/>
      <c r="AR8" s="7"/>
      <c r="AT8" s="7"/>
      <c r="AV8" s="7"/>
      <c r="AX8" s="7"/>
      <c r="AZ8" s="7"/>
      <c r="BE8" s="7"/>
      <c r="BJ8" s="7"/>
    </row>
    <row r="9" spans="1:62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1">
        <v>6236</v>
      </c>
      <c r="O9" s="7">
        <v>10653</v>
      </c>
      <c r="P9" s="7" t="s">
        <v>30</v>
      </c>
      <c r="Q9" s="7"/>
      <c r="R9" s="5"/>
      <c r="S9" s="5"/>
      <c r="T9" s="5"/>
      <c r="U9" s="7"/>
      <c r="V9" s="7"/>
      <c r="W9" s="7"/>
      <c r="X9" s="7"/>
      <c r="Y9" s="7"/>
      <c r="Z9" s="8"/>
      <c r="AA9" s="8"/>
      <c r="AB9" s="8"/>
      <c r="AC9" s="8"/>
      <c r="AD9" s="8"/>
      <c r="AE9" s="7"/>
      <c r="AF9" s="7"/>
      <c r="AG9" s="7"/>
      <c r="AH9" s="7"/>
      <c r="AI9" s="7"/>
      <c r="AJ9" s="7"/>
      <c r="AK9" s="9"/>
      <c r="AM9" s="7"/>
      <c r="AN9" s="7"/>
      <c r="AO9" s="7"/>
      <c r="AP9" s="7"/>
      <c r="AQ9" s="7"/>
      <c r="AR9" s="7"/>
      <c r="AT9" s="7"/>
      <c r="AV9" s="7"/>
      <c r="AX9" s="7"/>
      <c r="AZ9" s="7"/>
      <c r="BE9" s="7"/>
      <c r="BJ9" s="7"/>
    </row>
    <row r="10" spans="1:62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1">
        <v>4318</v>
      </c>
      <c r="O10" s="7">
        <v>7900</v>
      </c>
      <c r="P10" s="7" t="s">
        <v>30</v>
      </c>
      <c r="Q10" s="7"/>
      <c r="R10" s="5"/>
      <c r="S10" s="5"/>
      <c r="T10" s="5"/>
      <c r="U10" s="7"/>
      <c r="V10" s="7"/>
      <c r="W10" s="7"/>
      <c r="X10" s="7"/>
      <c r="Y10" s="7"/>
      <c r="Z10" s="8"/>
      <c r="AA10" s="8"/>
      <c r="AB10" s="8"/>
      <c r="AC10" s="8"/>
      <c r="AD10" s="8"/>
      <c r="AE10" s="7"/>
      <c r="AF10" s="7"/>
      <c r="AG10" s="7"/>
      <c r="AH10" s="7"/>
      <c r="AI10" s="7"/>
      <c r="AJ10" s="7"/>
      <c r="AK10" s="9"/>
      <c r="AM10" s="7"/>
      <c r="AN10" s="7"/>
      <c r="AO10" s="7"/>
      <c r="AP10" s="7"/>
      <c r="AQ10" s="7"/>
      <c r="AR10" s="7"/>
      <c r="AT10" s="7"/>
      <c r="AV10" s="7"/>
      <c r="AX10" s="7"/>
      <c r="AZ10" s="7"/>
      <c r="BE10" s="7"/>
      <c r="BJ10" s="7"/>
    </row>
    <row r="11" spans="1:62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1">
        <v>3745</v>
      </c>
      <c r="O11" s="7">
        <v>13700</v>
      </c>
      <c r="P11" s="7" t="s">
        <v>30</v>
      </c>
      <c r="Q11" s="7"/>
      <c r="R11" s="5"/>
      <c r="S11" s="5"/>
      <c r="T11" s="5"/>
      <c r="U11" s="7"/>
      <c r="V11" s="7"/>
      <c r="W11" s="7"/>
      <c r="X11" s="7"/>
      <c r="Y11" s="7"/>
      <c r="Z11" s="8"/>
      <c r="AA11" s="8"/>
      <c r="AB11" s="8"/>
      <c r="AC11" s="8"/>
      <c r="AD11" s="8"/>
      <c r="AE11" s="7"/>
      <c r="AF11" s="7"/>
      <c r="AG11" s="7"/>
      <c r="AH11" s="7"/>
      <c r="AI11" s="7"/>
      <c r="AJ11" s="7"/>
      <c r="AK11" s="9"/>
      <c r="AM11" s="7"/>
      <c r="AN11" s="7"/>
      <c r="AO11" s="7"/>
      <c r="AP11" s="7"/>
      <c r="AQ11" s="7"/>
      <c r="AR11" s="7"/>
      <c r="AT11" s="7"/>
      <c r="AV11" s="7"/>
      <c r="AX11" s="7"/>
      <c r="AZ11" s="7"/>
      <c r="BE11" s="7"/>
      <c r="BJ11" s="7"/>
    </row>
    <row r="12" spans="1:62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1">
        <v>5414</v>
      </c>
      <c r="O12" s="7">
        <v>9400</v>
      </c>
      <c r="P12" s="7" t="s">
        <v>30</v>
      </c>
      <c r="Q12" s="7"/>
      <c r="R12" s="5"/>
      <c r="S12" s="5"/>
      <c r="T12" s="5"/>
      <c r="U12" s="7"/>
      <c r="V12" s="7"/>
      <c r="W12" s="7"/>
      <c r="X12" s="7"/>
      <c r="Y12" s="7"/>
      <c r="Z12" s="8"/>
      <c r="AA12" s="8"/>
      <c r="AB12" s="8"/>
      <c r="AC12" s="8"/>
      <c r="AD12" s="8"/>
      <c r="AE12" s="7"/>
      <c r="AF12" s="7"/>
      <c r="AG12" s="7"/>
      <c r="AH12" s="7"/>
      <c r="AI12" s="7"/>
      <c r="AJ12" s="7"/>
      <c r="AK12" s="9"/>
      <c r="AM12" s="7"/>
      <c r="AN12" s="7"/>
      <c r="AO12" s="7"/>
      <c r="AP12" s="7"/>
      <c r="AQ12" s="7"/>
      <c r="AR12" s="7"/>
      <c r="AT12" s="7"/>
      <c r="AV12" s="7"/>
      <c r="AX12" s="7"/>
      <c r="AZ12" s="7"/>
      <c r="BE12" s="7"/>
      <c r="BJ12" s="7"/>
    </row>
    <row r="13" spans="1:62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1">
        <v>5112</v>
      </c>
      <c r="O13" s="7">
        <v>17855</v>
      </c>
      <c r="P13" s="7" t="s">
        <v>30</v>
      </c>
      <c r="Q13" s="7"/>
      <c r="R13" s="5"/>
      <c r="S13" s="5"/>
      <c r="T13" s="5"/>
      <c r="U13" s="7"/>
      <c r="V13" s="7"/>
      <c r="W13" s="7"/>
      <c r="X13" s="7"/>
      <c r="Y13" s="7"/>
      <c r="Z13" s="8"/>
      <c r="AA13" s="8"/>
      <c r="AB13" s="8"/>
      <c r="AC13" s="8"/>
      <c r="AD13" s="8"/>
      <c r="AE13" s="7"/>
      <c r="AF13" s="7"/>
      <c r="AG13" s="7"/>
      <c r="AH13" s="7"/>
      <c r="AI13" s="7"/>
      <c r="AJ13" s="7"/>
      <c r="AK13" s="9"/>
      <c r="AM13" s="7"/>
      <c r="AN13" s="7"/>
      <c r="AO13" s="7"/>
      <c r="AP13" s="7"/>
      <c r="AQ13" s="7"/>
      <c r="AR13" s="7"/>
      <c r="AT13" s="7"/>
      <c r="AV13" s="7"/>
      <c r="AX13" s="7"/>
      <c r="AZ13" s="7"/>
      <c r="BE13" s="7"/>
      <c r="BJ13" s="7"/>
    </row>
    <row r="14" spans="1:62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1">
        <v>3167</v>
      </c>
      <c r="O14" s="7">
        <v>11700</v>
      </c>
      <c r="P14" s="7" t="s">
        <v>30</v>
      </c>
      <c r="Q14" s="7"/>
      <c r="R14" s="5"/>
      <c r="S14" s="5"/>
      <c r="T14" s="5"/>
      <c r="U14" s="7"/>
      <c r="V14" s="7"/>
      <c r="W14" s="7"/>
      <c r="X14" s="7"/>
      <c r="Y14" s="7"/>
      <c r="Z14" s="8"/>
      <c r="AA14" s="8"/>
      <c r="AB14" s="8"/>
      <c r="AC14" s="8"/>
      <c r="AD14" s="8"/>
      <c r="AE14" s="7"/>
      <c r="AF14" s="7"/>
      <c r="AG14" s="7"/>
      <c r="AH14" s="7"/>
      <c r="AI14" s="7"/>
      <c r="AJ14" s="7"/>
      <c r="AK14" s="9"/>
      <c r="AM14" s="7"/>
      <c r="AN14" s="7"/>
      <c r="AO14" s="7"/>
      <c r="AP14" s="7"/>
      <c r="AQ14" s="7"/>
      <c r="AR14" s="7"/>
      <c r="AT14" s="7"/>
      <c r="AV14" s="7"/>
      <c r="AX14" s="7"/>
      <c r="AZ14" s="7"/>
      <c r="BE14" s="7"/>
      <c r="BJ14" s="7"/>
    </row>
    <row r="15" spans="1:62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1">
        <v>0</v>
      </c>
      <c r="O15" s="7">
        <v>11361</v>
      </c>
      <c r="P15" s="7" t="s">
        <v>30</v>
      </c>
      <c r="Q15" s="7"/>
      <c r="R15" s="5"/>
      <c r="S15" s="5"/>
      <c r="T15" s="5"/>
      <c r="U15" s="7"/>
      <c r="V15" s="7"/>
      <c r="W15" s="7"/>
      <c r="X15" s="7"/>
      <c r="Y15" s="7"/>
      <c r="Z15" s="8"/>
      <c r="AA15" s="8"/>
      <c r="AB15" s="8"/>
      <c r="AC15" s="8"/>
      <c r="AD15" s="8"/>
      <c r="AE15" s="7"/>
      <c r="AF15" s="7"/>
      <c r="AG15" s="7"/>
      <c r="AH15" s="7"/>
      <c r="AI15" s="7"/>
      <c r="AJ15" s="7"/>
      <c r="AK15" s="9"/>
      <c r="AM15" s="7"/>
      <c r="AN15" s="7"/>
      <c r="AO15" s="7"/>
      <c r="AP15" s="7"/>
      <c r="AQ15" s="7"/>
      <c r="AR15" s="7"/>
      <c r="AT15" s="7"/>
      <c r="AV15" s="7"/>
      <c r="AX15" s="7"/>
      <c r="AZ15" s="7"/>
      <c r="BE15" s="7"/>
      <c r="BJ15" s="7"/>
    </row>
    <row r="16" spans="1:62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1">
        <v>4306</v>
      </c>
      <c r="O16" s="7">
        <v>9569</v>
      </c>
      <c r="P16" s="7" t="s">
        <v>30</v>
      </c>
      <c r="Q16" s="7"/>
      <c r="R16" s="5"/>
      <c r="S16" s="5"/>
      <c r="T16" s="5"/>
      <c r="U16" s="7"/>
      <c r="V16" s="7"/>
      <c r="W16" s="7"/>
      <c r="X16" s="7"/>
      <c r="Y16" s="7"/>
      <c r="Z16" s="8"/>
      <c r="AA16" s="8"/>
      <c r="AB16" s="8"/>
      <c r="AC16" s="8"/>
      <c r="AD16" s="8"/>
      <c r="AE16" s="7"/>
      <c r="AF16" s="7"/>
      <c r="AG16" s="7"/>
      <c r="AH16" s="7"/>
      <c r="AI16" s="7"/>
      <c r="AJ16" s="7"/>
      <c r="AK16" s="9"/>
      <c r="AM16" s="7"/>
      <c r="AN16" s="7"/>
      <c r="AO16" s="7"/>
      <c r="AP16" s="7"/>
      <c r="AQ16" s="7"/>
      <c r="AR16" s="7"/>
      <c r="AT16" s="7"/>
      <c r="AV16" s="7"/>
      <c r="AX16" s="7"/>
      <c r="AZ16" s="7"/>
      <c r="BE16" s="7"/>
      <c r="BJ16" s="7"/>
    </row>
    <row r="17" spans="1:62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>SUM(F17,H17,I17)</f>
        <v>1467</v>
      </c>
      <c r="M17" s="23">
        <f t="shared" si="4"/>
        <v>0</v>
      </c>
      <c r="N17" s="1">
        <v>1638</v>
      </c>
      <c r="O17" s="7">
        <v>8140</v>
      </c>
      <c r="P17" s="7" t="s">
        <v>30</v>
      </c>
      <c r="Q17" s="7"/>
      <c r="R17" s="5"/>
      <c r="S17" s="5"/>
      <c r="T17" s="5"/>
      <c r="U17" s="7"/>
      <c r="V17" s="7"/>
      <c r="W17" s="7"/>
      <c r="X17" s="7"/>
      <c r="Y17" s="7"/>
      <c r="Z17" s="8"/>
      <c r="AA17" s="8"/>
      <c r="AB17" s="8"/>
      <c r="AC17" s="8"/>
      <c r="AD17" s="8"/>
      <c r="AE17" s="7"/>
      <c r="AF17" s="7"/>
      <c r="AG17" s="7"/>
      <c r="AH17" s="7"/>
      <c r="AI17" s="7"/>
      <c r="AJ17" s="7"/>
      <c r="AK17" s="9"/>
      <c r="AM17" s="7"/>
      <c r="AN17" s="7"/>
      <c r="AO17" s="7"/>
      <c r="AP17" s="7"/>
      <c r="AQ17" s="7"/>
      <c r="AR17" s="7"/>
      <c r="AT17" s="7"/>
      <c r="AV17" s="7"/>
      <c r="AX17" s="7"/>
      <c r="AZ17" s="7"/>
      <c r="BE17" s="7"/>
      <c r="BJ17" s="7"/>
    </row>
    <row r="18" spans="1:62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1">
        <v>714</v>
      </c>
      <c r="O18" s="7">
        <v>5724</v>
      </c>
      <c r="P18" s="7" t="s">
        <v>30</v>
      </c>
      <c r="Q18" s="7"/>
      <c r="R18" s="5"/>
      <c r="S18" s="5"/>
      <c r="T18" s="5"/>
      <c r="U18" s="7"/>
      <c r="V18" s="7"/>
      <c r="W18" s="7"/>
      <c r="X18" s="7"/>
      <c r="Y18" s="7"/>
      <c r="Z18" s="8"/>
      <c r="AA18" s="8"/>
      <c r="AB18" s="8"/>
      <c r="AC18" s="8"/>
      <c r="AD18" s="8"/>
      <c r="AE18" s="7"/>
      <c r="AF18" s="7"/>
      <c r="AG18" s="7"/>
      <c r="AH18" s="7"/>
      <c r="AI18" s="7"/>
      <c r="AJ18" s="7"/>
      <c r="AK18" s="9"/>
      <c r="AM18" s="7"/>
      <c r="AN18" s="7"/>
      <c r="AO18" s="7"/>
      <c r="AP18" s="7"/>
      <c r="AQ18" s="7"/>
      <c r="AR18" s="7"/>
      <c r="AT18" s="7"/>
      <c r="AV18" s="7"/>
      <c r="AX18" s="7"/>
      <c r="AZ18" s="7"/>
      <c r="BE18" s="7"/>
      <c r="BJ18" s="7"/>
    </row>
    <row r="19" spans="1:62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1">
        <v>1164</v>
      </c>
      <c r="O19" s="7">
        <v>4828</v>
      </c>
      <c r="P19" s="7" t="s">
        <v>30</v>
      </c>
      <c r="Q19" s="7"/>
      <c r="R19" s="5"/>
      <c r="S19" s="5"/>
      <c r="T19" s="5"/>
      <c r="U19" s="7"/>
      <c r="V19" s="7"/>
      <c r="W19" s="7"/>
      <c r="X19" s="7"/>
      <c r="Y19" s="7"/>
      <c r="Z19" s="8"/>
      <c r="AA19" s="8"/>
      <c r="AB19" s="8"/>
      <c r="AC19" s="8"/>
      <c r="AD19" s="8"/>
      <c r="AE19" s="7"/>
      <c r="AF19" s="7"/>
      <c r="AG19" s="7"/>
      <c r="AH19" s="7"/>
      <c r="AI19" s="7"/>
      <c r="AJ19" s="7"/>
      <c r="AK19" s="9"/>
      <c r="AM19" s="7"/>
      <c r="AN19" s="7"/>
      <c r="AO19" s="7"/>
      <c r="AP19" s="7"/>
      <c r="AQ19" s="7"/>
      <c r="AR19" s="7"/>
      <c r="AT19" s="7"/>
      <c r="AV19" s="7"/>
      <c r="AX19" s="7"/>
      <c r="AZ19" s="7"/>
      <c r="BE19" s="7"/>
      <c r="BJ19" s="7"/>
    </row>
    <row r="20" spans="1:62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>SUM(F20,H20,I20)</f>
        <v>2500</v>
      </c>
      <c r="M20" s="23">
        <f t="shared" si="4"/>
        <v>0</v>
      </c>
      <c r="N20" s="1">
        <v>1434</v>
      </c>
      <c r="O20" s="7">
        <v>6289</v>
      </c>
      <c r="P20" s="7" t="s">
        <v>30</v>
      </c>
      <c r="Q20" s="7"/>
      <c r="R20" s="5"/>
      <c r="S20" s="5"/>
      <c r="T20" s="5"/>
      <c r="U20" s="7"/>
      <c r="V20" s="7"/>
      <c r="W20" s="7"/>
      <c r="X20" s="7"/>
      <c r="Y20" s="7"/>
      <c r="Z20" s="8"/>
      <c r="AA20" s="8"/>
      <c r="AB20" s="8"/>
      <c r="AC20" s="8"/>
      <c r="AD20" s="8"/>
      <c r="AE20" s="7"/>
      <c r="AF20" s="7"/>
      <c r="AG20" s="7"/>
      <c r="AH20" s="7"/>
      <c r="AI20" s="7"/>
      <c r="AJ20" s="7"/>
      <c r="AM20" s="7"/>
      <c r="AN20" s="7"/>
      <c r="AO20" s="7"/>
      <c r="AP20" s="7"/>
      <c r="AQ20" s="7"/>
      <c r="AR20" s="7"/>
      <c r="AT20" s="7"/>
      <c r="AV20" s="7"/>
      <c r="AX20" s="7"/>
      <c r="AZ20" s="7"/>
      <c r="BE20" s="7"/>
      <c r="BJ20" s="7"/>
    </row>
    <row r="21" spans="1:62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1">
        <v>1669</v>
      </c>
      <c r="O21" s="7">
        <v>9783</v>
      </c>
      <c r="P21" s="7" t="s">
        <v>30</v>
      </c>
      <c r="Q21" s="7"/>
      <c r="R21" s="5"/>
      <c r="S21" s="5"/>
      <c r="T21" s="5"/>
      <c r="U21" s="7"/>
      <c r="V21" s="7"/>
      <c r="W21" s="7"/>
      <c r="X21" s="7"/>
      <c r="Y21" s="7"/>
      <c r="Z21" s="8"/>
      <c r="AA21" s="8"/>
      <c r="AB21" s="8"/>
      <c r="AC21" s="8"/>
      <c r="AD21" s="8"/>
      <c r="AE21" s="7"/>
      <c r="AF21" s="7"/>
      <c r="AG21" s="7"/>
      <c r="AH21" s="7"/>
      <c r="AI21" s="7"/>
      <c r="AJ21" s="7"/>
      <c r="AM21" s="7"/>
      <c r="AN21" s="7"/>
      <c r="AO21" s="7"/>
      <c r="AP21" s="7"/>
      <c r="AQ21" s="7"/>
      <c r="AR21" s="7"/>
      <c r="AT21" s="7"/>
      <c r="AV21" s="7"/>
      <c r="AX21" s="7"/>
      <c r="AZ21" s="7"/>
      <c r="BE21" s="7"/>
      <c r="BJ21" s="7"/>
    </row>
    <row r="22" spans="1:62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1">
        <v>1775</v>
      </c>
      <c r="O22" s="7">
        <v>15345</v>
      </c>
      <c r="P22" s="7" t="s">
        <v>30</v>
      </c>
      <c r="Q22" s="7"/>
      <c r="R22" s="5"/>
      <c r="S22" s="5"/>
      <c r="T22" s="5"/>
      <c r="U22" s="7"/>
      <c r="V22" s="7"/>
      <c r="W22" s="7"/>
      <c r="X22" s="7"/>
      <c r="Y22" s="7"/>
      <c r="Z22" s="8"/>
      <c r="AA22" s="8"/>
      <c r="AB22" s="8"/>
      <c r="AC22" s="8"/>
      <c r="AD22" s="8"/>
      <c r="AE22" s="7"/>
      <c r="AF22" s="7"/>
      <c r="AG22" s="7"/>
      <c r="AH22" s="7"/>
      <c r="AI22" s="7"/>
      <c r="AJ22" s="7"/>
      <c r="AM22" s="7"/>
      <c r="AN22" s="7"/>
      <c r="AO22" s="7"/>
      <c r="AP22" s="7"/>
      <c r="AQ22" s="7"/>
      <c r="AR22" s="7"/>
      <c r="AT22" s="7"/>
      <c r="AV22" s="7"/>
      <c r="AX22" s="7"/>
      <c r="AZ22" s="7"/>
      <c r="BE22" s="7"/>
      <c r="BJ22" s="7"/>
    </row>
    <row r="23" spans="1:62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1">
        <v>991</v>
      </c>
      <c r="O23" s="7">
        <v>12296</v>
      </c>
      <c r="P23" s="7" t="s">
        <v>30</v>
      </c>
      <c r="Q23" s="7"/>
      <c r="R23" s="5"/>
      <c r="S23" s="5"/>
      <c r="T23" s="5"/>
      <c r="U23" s="7"/>
      <c r="V23" s="7"/>
      <c r="W23" s="7"/>
      <c r="X23" s="7"/>
      <c r="Y23" s="7"/>
      <c r="Z23" s="8"/>
      <c r="AA23" s="8"/>
      <c r="AB23" s="8"/>
      <c r="AC23" s="8"/>
      <c r="AD23" s="8"/>
      <c r="AE23" s="7"/>
      <c r="AF23" s="7"/>
      <c r="AG23" s="7"/>
      <c r="AH23" s="7"/>
      <c r="AI23" s="7"/>
      <c r="AJ23" s="7"/>
      <c r="AM23" s="7"/>
      <c r="AN23" s="7"/>
      <c r="AO23" s="7"/>
      <c r="AP23" s="7"/>
      <c r="AQ23" s="7"/>
      <c r="AR23" s="7"/>
      <c r="AT23" s="7"/>
      <c r="AV23" s="7"/>
      <c r="AX23" s="7"/>
      <c r="AZ23" s="7"/>
      <c r="BE23" s="7"/>
      <c r="BJ23" s="7"/>
    </row>
    <row r="24" spans="1:62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>SUM(F24,H24,I24)</f>
        <v>5000</v>
      </c>
      <c r="M24" s="23">
        <f t="shared" si="4"/>
        <v>0</v>
      </c>
      <c r="N24" s="13">
        <v>1000</v>
      </c>
      <c r="O24" s="23">
        <v>10354</v>
      </c>
      <c r="P24" s="7" t="s">
        <v>30</v>
      </c>
      <c r="Q24" s="7"/>
      <c r="R24" s="5"/>
      <c r="S24" s="5" t="s">
        <v>35</v>
      </c>
      <c r="T24" s="5"/>
      <c r="U24" s="7"/>
      <c r="V24" s="7"/>
      <c r="W24" s="7"/>
      <c r="X24" s="7"/>
      <c r="Y24" s="7"/>
      <c r="Z24" s="8"/>
      <c r="AA24" s="8"/>
      <c r="AB24" s="8"/>
      <c r="AC24" s="8"/>
      <c r="AD24" s="8"/>
      <c r="AE24" s="7"/>
      <c r="AF24" s="7"/>
      <c r="AG24" s="7"/>
      <c r="AH24" s="7"/>
      <c r="AI24" s="7"/>
      <c r="AJ24" s="7"/>
      <c r="AM24" s="7"/>
      <c r="AN24" s="7"/>
      <c r="AO24" s="7"/>
      <c r="AP24" s="7"/>
      <c r="AQ24" s="7"/>
      <c r="AR24" s="7"/>
      <c r="AT24" s="7"/>
      <c r="AV24" s="7"/>
      <c r="AX24" s="7"/>
      <c r="AZ24" s="7"/>
      <c r="BE24" s="7"/>
      <c r="BJ24" s="7"/>
    </row>
    <row r="25" spans="1:62" ht="12.75" customHeight="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8">
        <v>0</v>
      </c>
      <c r="H25" s="1">
        <v>3962</v>
      </c>
      <c r="L25" s="7">
        <f>SUM(F25,H25,I25)</f>
        <v>3962</v>
      </c>
      <c r="M25" s="23">
        <f>SUM(J25,K25)</f>
        <v>0</v>
      </c>
      <c r="N25" s="1">
        <v>83</v>
      </c>
      <c r="O25" s="7">
        <v>6207</v>
      </c>
      <c r="P25" s="7" t="s">
        <v>30</v>
      </c>
      <c r="Q25" s="30"/>
      <c r="R25" s="5" t="s">
        <v>36</v>
      </c>
      <c r="S25" s="5"/>
      <c r="T25" s="5"/>
      <c r="U25" s="7"/>
      <c r="V25" s="7"/>
      <c r="W25" s="7"/>
      <c r="X25" s="7"/>
      <c r="Y25" s="7"/>
      <c r="Z25" s="8"/>
      <c r="AA25" s="8"/>
      <c r="AB25" s="8"/>
      <c r="AC25" s="8"/>
      <c r="AD25" s="8"/>
      <c r="AE25" s="7"/>
      <c r="AF25" s="7"/>
      <c r="AG25" s="7"/>
      <c r="AH25" s="7"/>
      <c r="AI25" s="7"/>
      <c r="AJ25" s="7"/>
      <c r="AM25" s="7"/>
      <c r="AN25" s="7"/>
      <c r="AO25" s="7"/>
      <c r="AP25" s="7"/>
      <c r="AQ25" s="7"/>
      <c r="AR25" s="7"/>
      <c r="AT25" s="7"/>
      <c r="AV25" s="7"/>
      <c r="AX25" s="7"/>
      <c r="AZ25" s="7"/>
      <c r="BE25" s="7"/>
      <c r="BJ25" s="7"/>
    </row>
    <row r="26" spans="1:62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8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1">
        <v>331</v>
      </c>
      <c r="O26" s="7">
        <v>10472</v>
      </c>
      <c r="P26" s="7" t="s">
        <v>30</v>
      </c>
      <c r="Q26" s="30"/>
      <c r="R26" s="5" t="s">
        <v>36</v>
      </c>
      <c r="S26" s="5"/>
      <c r="T26" s="5"/>
      <c r="U26" s="7"/>
      <c r="V26" s="7"/>
      <c r="W26" s="7"/>
      <c r="X26" s="7"/>
      <c r="Y26" s="7"/>
      <c r="Z26" s="8"/>
      <c r="AA26" s="8"/>
      <c r="AB26" s="8"/>
      <c r="AC26" s="8"/>
      <c r="AD26" s="8"/>
      <c r="AE26" s="7"/>
      <c r="AF26" s="7"/>
      <c r="AG26" s="7"/>
      <c r="AH26" s="7"/>
      <c r="AI26" s="7"/>
      <c r="AJ26" s="7"/>
      <c r="AM26" s="7"/>
      <c r="AN26" s="7"/>
      <c r="AO26" s="7"/>
      <c r="AP26" s="7"/>
      <c r="AQ26" s="7"/>
      <c r="AR26" s="7"/>
      <c r="AT26" s="7"/>
      <c r="AV26" s="7"/>
      <c r="AX26" s="7"/>
      <c r="AZ26" s="7"/>
      <c r="BE26" s="7"/>
      <c r="BJ26" s="7"/>
    </row>
    <row r="27" spans="1:62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>SUM(F27,H27,I27)</f>
        <v>5000</v>
      </c>
      <c r="M27" s="23">
        <f t="shared" si="4"/>
        <v>0</v>
      </c>
      <c r="N27" s="1">
        <v>158</v>
      </c>
      <c r="O27" s="7">
        <v>10924</v>
      </c>
      <c r="P27" s="7" t="s">
        <v>30</v>
      </c>
      <c r="Q27" s="7"/>
      <c r="R27" s="5"/>
      <c r="S27" s="5"/>
      <c r="T27" s="5"/>
      <c r="U27" s="7"/>
      <c r="V27" s="7"/>
      <c r="W27" s="7"/>
      <c r="X27" s="7"/>
      <c r="Y27" s="7"/>
      <c r="Z27" s="8"/>
      <c r="AA27" s="8"/>
      <c r="AB27" s="8"/>
      <c r="AC27" s="8"/>
      <c r="AD27" s="8"/>
      <c r="AE27" s="7"/>
      <c r="AF27" s="7"/>
      <c r="AG27" s="7"/>
      <c r="AH27" s="7"/>
      <c r="AI27" s="7"/>
      <c r="AJ27" s="7"/>
      <c r="AM27" s="7"/>
      <c r="AN27" s="7"/>
      <c r="AO27" s="7"/>
      <c r="AP27" s="7"/>
      <c r="AQ27" s="7"/>
      <c r="AR27" s="7"/>
      <c r="AT27" s="7"/>
      <c r="AV27" s="7"/>
      <c r="AX27" s="7"/>
      <c r="AZ27" s="7"/>
      <c r="BE27" s="7"/>
      <c r="BJ27" s="7"/>
    </row>
    <row r="28" spans="1:62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ref="L24:L35" si="5">SUM(F28,H28,I28)</f>
        <v>2500</v>
      </c>
      <c r="M28" s="23">
        <f t="shared" si="4"/>
        <v>0</v>
      </c>
      <c r="N28" s="1">
        <v>306</v>
      </c>
      <c r="O28" s="7">
        <v>6939</v>
      </c>
      <c r="P28" s="7" t="s">
        <v>30</v>
      </c>
      <c r="Q28" s="7"/>
      <c r="R28" s="5"/>
      <c r="S28" s="5"/>
      <c r="T28" s="5"/>
      <c r="U28" s="7"/>
      <c r="V28" s="7"/>
      <c r="W28" s="7"/>
      <c r="X28" s="7"/>
      <c r="Y28" s="7"/>
      <c r="Z28" s="8"/>
      <c r="AA28" s="8"/>
      <c r="AB28" s="8"/>
      <c r="AC28" s="8"/>
      <c r="AD28" s="8"/>
      <c r="AE28" s="7"/>
      <c r="AF28" s="7"/>
      <c r="AG28" s="7"/>
      <c r="AH28" s="7"/>
      <c r="AI28" s="7"/>
      <c r="AJ28" s="7"/>
      <c r="AM28" s="7"/>
      <c r="AN28" s="7"/>
      <c r="AO28" s="7"/>
      <c r="AP28" s="7"/>
      <c r="AQ28" s="7"/>
      <c r="AR28" s="7"/>
      <c r="AT28" s="7"/>
      <c r="AV28" s="7"/>
      <c r="AX28" s="7"/>
      <c r="AZ28" s="7"/>
      <c r="BE28" s="7"/>
      <c r="BJ28" s="7"/>
    </row>
    <row r="29" spans="1:62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5"/>
        <v>2500</v>
      </c>
      <c r="M29" s="23">
        <f t="shared" si="4"/>
        <v>0</v>
      </c>
      <c r="N29" s="1">
        <v>73</v>
      </c>
      <c r="O29" s="7">
        <v>6235</v>
      </c>
      <c r="P29" s="7" t="s">
        <v>30</v>
      </c>
      <c r="Q29" s="7"/>
      <c r="R29" s="5"/>
      <c r="S29" s="5"/>
      <c r="T29" s="5"/>
      <c r="U29" s="7"/>
      <c r="V29" s="7"/>
      <c r="W29" s="7"/>
      <c r="X29" s="7"/>
      <c r="Y29" s="7"/>
      <c r="Z29" s="8"/>
      <c r="AA29" s="8"/>
      <c r="AB29" s="8"/>
      <c r="AC29" s="8"/>
      <c r="AD29" s="8"/>
      <c r="AE29" s="7"/>
      <c r="AF29" s="7"/>
      <c r="AG29" s="7"/>
      <c r="AH29" s="7"/>
      <c r="AI29" s="7"/>
      <c r="AJ29" s="7"/>
      <c r="AM29" s="7"/>
      <c r="AN29" s="7"/>
      <c r="AO29" s="7"/>
      <c r="AP29" s="7"/>
      <c r="AQ29" s="7"/>
      <c r="AR29" s="7"/>
      <c r="AT29" s="7"/>
      <c r="AV29" s="7"/>
      <c r="AX29" s="7"/>
      <c r="AZ29" s="7"/>
      <c r="BE29" s="7"/>
      <c r="BJ29" s="7"/>
    </row>
    <row r="30" spans="1:62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8">
        <v>0</v>
      </c>
      <c r="H30" s="1">
        <v>500</v>
      </c>
      <c r="L30" s="7">
        <f t="shared" si="5"/>
        <v>500</v>
      </c>
      <c r="M30" s="23">
        <f t="shared" si="4"/>
        <v>0</v>
      </c>
      <c r="N30" s="1">
        <v>114</v>
      </c>
      <c r="O30" s="7">
        <v>4816</v>
      </c>
      <c r="P30" s="7" t="s">
        <v>30</v>
      </c>
      <c r="Q30" s="7"/>
      <c r="R30" s="5"/>
      <c r="S30" s="5"/>
      <c r="T30" s="5"/>
      <c r="U30" s="7"/>
      <c r="V30" s="7"/>
      <c r="W30" s="7"/>
      <c r="X30" s="7"/>
      <c r="Y30" s="7"/>
      <c r="Z30" s="8"/>
      <c r="AA30" s="8"/>
      <c r="AB30" s="8"/>
      <c r="AC30" s="8"/>
      <c r="AD30" s="8"/>
      <c r="AE30" s="7"/>
      <c r="AF30" s="7"/>
      <c r="AG30" s="7"/>
      <c r="AH30" s="7"/>
      <c r="AI30" s="7"/>
      <c r="AJ30" s="7"/>
      <c r="AM30" s="7"/>
      <c r="AN30" s="7"/>
      <c r="AO30" s="7"/>
      <c r="AP30" s="7"/>
      <c r="AQ30" s="7"/>
      <c r="AR30" s="7"/>
      <c r="AT30" s="7"/>
      <c r="AV30" s="7"/>
      <c r="AX30" s="7"/>
      <c r="AZ30" s="7"/>
      <c r="BE30" s="7"/>
      <c r="BJ30" s="7"/>
    </row>
    <row r="31" spans="1:62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5"/>
        <v>2500</v>
      </c>
      <c r="M31" s="23">
        <f t="shared" si="4"/>
        <v>0</v>
      </c>
      <c r="N31" s="1">
        <v>439</v>
      </c>
      <c r="O31" s="7">
        <v>7887</v>
      </c>
      <c r="P31" s="7" t="s">
        <v>30</v>
      </c>
      <c r="Q31" s="7"/>
      <c r="R31" s="5"/>
      <c r="S31" s="5"/>
      <c r="T31" s="5"/>
      <c r="U31" s="7"/>
      <c r="V31" s="7"/>
      <c r="W31" s="7"/>
      <c r="X31" s="7"/>
      <c r="Y31" s="7"/>
      <c r="Z31" s="8"/>
      <c r="AA31" s="8"/>
      <c r="AB31" s="8"/>
      <c r="AC31" s="8"/>
      <c r="AD31" s="8"/>
      <c r="AE31" s="7"/>
      <c r="AF31" s="7"/>
      <c r="AG31" s="7"/>
      <c r="AH31" s="7"/>
      <c r="AI31" s="7"/>
      <c r="AJ31" s="7"/>
      <c r="AM31" s="7"/>
      <c r="AN31" s="7"/>
      <c r="AO31" s="7"/>
      <c r="AP31" s="7"/>
      <c r="AQ31" s="7"/>
      <c r="AR31" s="7"/>
      <c r="AT31" s="7"/>
      <c r="AV31" s="7"/>
      <c r="AX31" s="7"/>
      <c r="AZ31" s="7"/>
      <c r="BE31" s="7"/>
      <c r="BJ31" s="7"/>
    </row>
    <row r="32" spans="1:62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5"/>
        <v>2500</v>
      </c>
      <c r="M32" s="23">
        <f t="shared" si="4"/>
        <v>0</v>
      </c>
      <c r="N32" s="1">
        <v>476</v>
      </c>
      <c r="O32" s="7">
        <v>5576</v>
      </c>
      <c r="P32" s="7" t="s">
        <v>30</v>
      </c>
      <c r="Q32" s="7"/>
      <c r="R32" s="5"/>
      <c r="S32" s="5"/>
      <c r="T32" s="5"/>
      <c r="U32" s="7"/>
      <c r="V32" s="7"/>
      <c r="W32" s="7"/>
      <c r="X32" s="7"/>
      <c r="Y32" s="7"/>
      <c r="Z32" s="8"/>
      <c r="AA32" s="8"/>
      <c r="AB32" s="8"/>
      <c r="AC32" s="8"/>
      <c r="AD32" s="8"/>
      <c r="AE32" s="7"/>
      <c r="AF32" s="7"/>
      <c r="AG32" s="7"/>
      <c r="AH32" s="7"/>
      <c r="AI32" s="7"/>
      <c r="AJ32" s="7"/>
      <c r="AM32" s="7"/>
      <c r="AN32" s="7"/>
      <c r="AO32" s="7"/>
      <c r="AP32" s="7"/>
      <c r="AQ32" s="7"/>
      <c r="AR32" s="7"/>
      <c r="AT32" s="7"/>
      <c r="AV32" s="7"/>
      <c r="AX32" s="7"/>
      <c r="AZ32" s="7"/>
      <c r="BE32" s="7"/>
      <c r="BJ32" s="7"/>
    </row>
    <row r="33" spans="1:62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5" si="6">SUM(F33:I33)</f>
        <v>2821</v>
      </c>
      <c r="F33" s="11">
        <v>2351</v>
      </c>
      <c r="G33" s="14">
        <f>ROUND(0.2*SUM(F33,H33,I33),0)</f>
        <v>470</v>
      </c>
      <c r="L33" s="7">
        <f>SUM(F33,H33,I33)</f>
        <v>2351</v>
      </c>
      <c r="M33" s="23">
        <f>SUM(J33,K33)</f>
        <v>0</v>
      </c>
      <c r="N33" s="1">
        <v>124</v>
      </c>
      <c r="O33" s="7">
        <v>6115</v>
      </c>
      <c r="P33" s="7" t="s">
        <v>30</v>
      </c>
      <c r="Q33" s="7"/>
      <c r="R33" s="5"/>
      <c r="S33" s="5" t="s">
        <v>37</v>
      </c>
      <c r="T33" s="5"/>
      <c r="U33" s="7"/>
      <c r="V33" s="7"/>
      <c r="W33" s="7"/>
      <c r="X33" s="7"/>
      <c r="Y33" s="7"/>
      <c r="Z33" s="8"/>
      <c r="AA33" s="8"/>
      <c r="AB33" s="8"/>
      <c r="AC33" s="8"/>
      <c r="AD33" s="8"/>
      <c r="AE33" s="7"/>
      <c r="AF33" s="7"/>
      <c r="AG33" s="7"/>
      <c r="AH33" s="7"/>
      <c r="AI33" s="7"/>
      <c r="AJ33" s="7"/>
      <c r="AM33" s="7"/>
      <c r="AN33" s="7"/>
      <c r="AO33" s="7"/>
      <c r="AP33" s="7"/>
      <c r="AQ33" s="7"/>
      <c r="AR33" s="7"/>
      <c r="AT33" s="7"/>
      <c r="AV33" s="7"/>
      <c r="AX33" s="7"/>
      <c r="AZ33" s="7"/>
      <c r="BE33" s="7"/>
      <c r="BJ33" s="7"/>
    </row>
    <row r="34" spans="1:62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6"/>
        <v>2033</v>
      </c>
      <c r="F34" s="11">
        <v>1694</v>
      </c>
      <c r="G34" s="14">
        <f>ROUND(0.2*SUM(F34,H34,I34),0)</f>
        <v>339</v>
      </c>
      <c r="L34" s="7">
        <f t="shared" si="5"/>
        <v>1694</v>
      </c>
      <c r="M34" s="23">
        <f t="shared" si="4"/>
        <v>0</v>
      </c>
      <c r="N34" s="1">
        <v>366</v>
      </c>
      <c r="O34" s="7">
        <v>3764</v>
      </c>
      <c r="P34" s="7" t="s">
        <v>30</v>
      </c>
      <c r="Q34" s="7"/>
      <c r="R34" s="5"/>
      <c r="S34" s="5" t="s">
        <v>37</v>
      </c>
      <c r="T34" s="5"/>
      <c r="U34" s="7"/>
      <c r="V34" s="7"/>
      <c r="W34" s="7"/>
      <c r="X34" s="7"/>
      <c r="Y34" s="7"/>
      <c r="Z34" s="8"/>
      <c r="AA34" s="8"/>
      <c r="AB34" s="8"/>
      <c r="AC34" s="8"/>
      <c r="AD34" s="8"/>
      <c r="AE34" s="7"/>
      <c r="AF34" s="7"/>
      <c r="AG34" s="7"/>
      <c r="AH34" s="7"/>
      <c r="AI34" s="7"/>
      <c r="AJ34" s="7"/>
      <c r="AM34" s="7"/>
      <c r="AN34" s="7"/>
      <c r="AO34" s="7"/>
      <c r="AP34" s="7"/>
      <c r="AQ34" s="7"/>
      <c r="AR34" s="7"/>
      <c r="AT34" s="7"/>
      <c r="AV34" s="7"/>
      <c r="AX34" s="7"/>
      <c r="AZ34" s="7"/>
      <c r="BE34" s="7"/>
      <c r="BJ34" s="7"/>
    </row>
    <row r="35" spans="1:62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6"/>
        <v>811</v>
      </c>
      <c r="F35" s="4"/>
      <c r="G35" s="14">
        <f>ROUND(0.2*SUM(F35,H35,I35),0)</f>
        <v>135</v>
      </c>
      <c r="H35" s="1">
        <v>421</v>
      </c>
      <c r="I35" s="1">
        <v>255</v>
      </c>
      <c r="L35" s="7">
        <f t="shared" si="5"/>
        <v>676</v>
      </c>
      <c r="M35" s="23">
        <f>SUM(J35,K35)</f>
        <v>0</v>
      </c>
      <c r="N35" s="1">
        <v>175</v>
      </c>
      <c r="O35" s="7">
        <v>2533</v>
      </c>
      <c r="P35" s="7" t="s">
        <v>30</v>
      </c>
      <c r="Q35" s="30"/>
      <c r="R35" s="5" t="s">
        <v>36</v>
      </c>
      <c r="S35" s="5" t="s">
        <v>37</v>
      </c>
      <c r="T35" s="5"/>
      <c r="U35" s="7"/>
      <c r="V35" s="7"/>
      <c r="W35" s="7"/>
      <c r="X35" s="7"/>
      <c r="Y35" s="7"/>
      <c r="Z35" s="8"/>
      <c r="AA35" s="8"/>
      <c r="AB35" s="8"/>
      <c r="AC35" s="8"/>
      <c r="AD35" s="8"/>
      <c r="AE35" s="7"/>
      <c r="AF35" s="7"/>
      <c r="AG35" s="7"/>
      <c r="AH35" s="7"/>
      <c r="AI35" s="7"/>
      <c r="AJ35" s="7"/>
      <c r="AM35" s="7"/>
      <c r="AN35" s="7"/>
      <c r="AO35" s="7"/>
      <c r="AP35" s="7"/>
      <c r="AQ35" s="7"/>
      <c r="AR35" s="7"/>
      <c r="AT35" s="7"/>
      <c r="AV35" s="7"/>
      <c r="AX35" s="7"/>
      <c r="AZ35" s="7"/>
      <c r="BE35" s="7"/>
      <c r="BJ35" s="7"/>
    </row>
    <row r="36" spans="1:62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6"/>
        <v>2868</v>
      </c>
      <c r="F36" s="4"/>
      <c r="G36" s="14">
        <f t="shared" ref="G33:G40" si="7">ROUND(0.2*SUM(F36,H36,I36),0)</f>
        <v>478</v>
      </c>
      <c r="H36" s="1">
        <v>1552</v>
      </c>
      <c r="I36" s="1">
        <v>838</v>
      </c>
      <c r="J36" s="1">
        <v>583</v>
      </c>
      <c r="K36" s="1">
        <v>375</v>
      </c>
      <c r="L36" s="7">
        <f t="shared" si="3"/>
        <v>2390</v>
      </c>
      <c r="M36" s="23">
        <f>SUM(J36,K36)</f>
        <v>958</v>
      </c>
      <c r="N36" s="1">
        <v>19</v>
      </c>
      <c r="O36" s="7">
        <v>2142</v>
      </c>
      <c r="P36" s="7" t="s">
        <v>30</v>
      </c>
      <c r="Q36" s="30"/>
      <c r="R36" s="5" t="s">
        <v>36</v>
      </c>
      <c r="S36" s="5" t="s">
        <v>37</v>
      </c>
      <c r="T36" s="5"/>
      <c r="U36" s="7"/>
      <c r="V36" s="7"/>
      <c r="W36" s="7"/>
      <c r="X36" s="7"/>
      <c r="Y36" s="7"/>
      <c r="Z36" s="8"/>
      <c r="AA36" s="8"/>
      <c r="AB36" s="8"/>
      <c r="AC36" s="8"/>
      <c r="AD36" s="8"/>
      <c r="AE36" s="7"/>
      <c r="AF36" s="7"/>
      <c r="AG36" s="7"/>
      <c r="AH36" s="7"/>
      <c r="AI36" s="7"/>
      <c r="AJ36" s="7"/>
      <c r="AM36" s="7"/>
      <c r="AN36" s="7"/>
      <c r="AO36" s="7"/>
      <c r="AP36" s="7"/>
      <c r="AQ36" s="7"/>
      <c r="AR36" s="7"/>
      <c r="AT36" s="7"/>
      <c r="AV36" s="7"/>
      <c r="AX36" s="7"/>
      <c r="AZ36" s="7"/>
      <c r="BE36" s="7"/>
      <c r="BJ36" s="7"/>
    </row>
    <row r="37" spans="1:62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6"/>
        <v>4638</v>
      </c>
      <c r="F37" s="4"/>
      <c r="G37" s="14">
        <f t="shared" si="7"/>
        <v>773</v>
      </c>
      <c r="H37" s="1">
        <v>2302</v>
      </c>
      <c r="I37" s="1">
        <v>1563</v>
      </c>
      <c r="J37" s="1">
        <v>178</v>
      </c>
      <c r="K37" s="1">
        <v>250</v>
      </c>
      <c r="L37" s="7">
        <f>SUM(F37,H37,I37)</f>
        <v>3865</v>
      </c>
      <c r="M37" s="23">
        <f>SUM(J37,K37)</f>
        <v>428</v>
      </c>
      <c r="N37" s="1">
        <v>149</v>
      </c>
      <c r="O37" s="7">
        <v>3365</v>
      </c>
      <c r="P37" s="7" t="s">
        <v>30</v>
      </c>
      <c r="Q37" s="30"/>
      <c r="R37" s="5" t="s">
        <v>36</v>
      </c>
      <c r="S37" s="5" t="s">
        <v>37</v>
      </c>
      <c r="T37" s="5"/>
      <c r="U37" s="7"/>
      <c r="V37" s="7"/>
      <c r="W37" s="7"/>
      <c r="X37" s="7"/>
      <c r="Y37" s="7"/>
      <c r="Z37" s="8"/>
      <c r="AA37" s="8"/>
      <c r="AB37" s="8"/>
      <c r="AC37" s="8"/>
      <c r="AD37" s="8"/>
      <c r="AE37" s="7"/>
      <c r="AF37" s="7"/>
      <c r="AG37" s="7"/>
      <c r="AH37" s="7"/>
      <c r="AI37" s="7"/>
      <c r="AJ37" s="7"/>
      <c r="AM37" s="7"/>
      <c r="AN37" s="7"/>
      <c r="AO37" s="7"/>
      <c r="AP37" s="7"/>
      <c r="AQ37" s="7"/>
      <c r="AR37" s="7"/>
      <c r="AT37" s="7"/>
      <c r="AV37" s="7"/>
      <c r="AX37" s="7"/>
      <c r="AZ37" s="7"/>
      <c r="BE37" s="7"/>
      <c r="BJ37" s="7"/>
    </row>
    <row r="38" spans="1:62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6"/>
        <v>5897</v>
      </c>
      <c r="F38" s="4"/>
      <c r="G38" s="14">
        <f t="shared" si="7"/>
        <v>983</v>
      </c>
      <c r="H38" s="1">
        <v>3440</v>
      </c>
      <c r="I38" s="1">
        <v>1474</v>
      </c>
      <c r="J38" s="1">
        <v>481</v>
      </c>
      <c r="K38" s="1">
        <v>103</v>
      </c>
      <c r="L38" s="7">
        <f>SUM(F38,H38,I38)</f>
        <v>4914</v>
      </c>
      <c r="M38" s="23">
        <f>SUM(J38,K38)</f>
        <v>584</v>
      </c>
      <c r="N38" s="1">
        <v>515</v>
      </c>
      <c r="O38" s="7">
        <v>5850</v>
      </c>
      <c r="P38" s="7" t="s">
        <v>30</v>
      </c>
      <c r="Q38" s="30"/>
      <c r="R38" s="5" t="s">
        <v>36</v>
      </c>
      <c r="S38" s="5" t="s">
        <v>37</v>
      </c>
      <c r="T38" s="5"/>
      <c r="U38" s="7"/>
      <c r="V38" s="7"/>
      <c r="W38" s="7"/>
      <c r="X38" s="7"/>
      <c r="Y38" s="7"/>
      <c r="Z38" s="8"/>
      <c r="AA38" s="8"/>
      <c r="AB38" s="8"/>
      <c r="AC38" s="8"/>
      <c r="AD38" s="8"/>
      <c r="AE38" s="7"/>
      <c r="AF38" s="7"/>
      <c r="AG38" s="7"/>
      <c r="AH38" s="7"/>
      <c r="AI38" s="7"/>
      <c r="AJ38" s="7"/>
      <c r="AM38" s="7"/>
      <c r="AN38" s="7"/>
      <c r="AO38" s="7"/>
      <c r="AP38" s="7"/>
      <c r="AQ38" s="7"/>
      <c r="AR38" s="7"/>
      <c r="AT38" s="7"/>
      <c r="AV38" s="7"/>
      <c r="AX38" s="7"/>
      <c r="AZ38" s="7"/>
      <c r="BE38" s="7"/>
      <c r="BJ38" s="7"/>
    </row>
    <row r="39" spans="1:62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6"/>
        <v>3876</v>
      </c>
      <c r="F39" s="4"/>
      <c r="G39" s="14">
        <f t="shared" si="7"/>
        <v>646</v>
      </c>
      <c r="H39" s="1">
        <v>2246</v>
      </c>
      <c r="I39" s="1">
        <v>984</v>
      </c>
      <c r="J39" s="1">
        <v>1411</v>
      </c>
      <c r="K39" s="1">
        <v>204</v>
      </c>
      <c r="L39" s="7">
        <f t="shared" si="3"/>
        <v>3230</v>
      </c>
      <c r="M39" s="23">
        <f>SUM(J39,K39)</f>
        <v>1615</v>
      </c>
      <c r="N39" s="1">
        <v>74</v>
      </c>
      <c r="O39" s="7">
        <v>3532</v>
      </c>
      <c r="P39" s="7" t="s">
        <v>30</v>
      </c>
      <c r="Q39" s="30"/>
      <c r="R39" s="5" t="s">
        <v>36</v>
      </c>
      <c r="S39" s="5" t="s">
        <v>37</v>
      </c>
      <c r="T39" s="5"/>
      <c r="U39" s="7"/>
      <c r="V39" s="7"/>
      <c r="W39" s="7"/>
      <c r="X39" s="7"/>
      <c r="Y39" s="7"/>
      <c r="Z39" s="8"/>
      <c r="AA39" s="8"/>
      <c r="AB39" s="8"/>
      <c r="AC39" s="8"/>
      <c r="AD39" s="8"/>
      <c r="AE39" s="7"/>
      <c r="AF39" s="7"/>
      <c r="AG39" s="7"/>
      <c r="AH39" s="7"/>
      <c r="AI39" s="7"/>
      <c r="AJ39" s="7"/>
      <c r="AM39" s="7"/>
      <c r="AN39" s="7"/>
      <c r="AO39" s="7"/>
      <c r="AP39" s="7"/>
      <c r="AQ39" s="7"/>
      <c r="AR39" s="7"/>
      <c r="AT39" s="7"/>
      <c r="AV39" s="7"/>
      <c r="AX39" s="7"/>
      <c r="AZ39" s="7"/>
      <c r="BE39" s="7"/>
      <c r="BJ39" s="7"/>
    </row>
    <row r="40" spans="1:62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6"/>
        <v>1488</v>
      </c>
      <c r="F40" s="4"/>
      <c r="G40" s="14">
        <f t="shared" si="7"/>
        <v>248</v>
      </c>
      <c r="H40" s="1">
        <v>619</v>
      </c>
      <c r="I40" s="1">
        <v>621</v>
      </c>
      <c r="J40" s="1">
        <f>808-H40</f>
        <v>189</v>
      </c>
      <c r="K40" s="1">
        <f>1341-I40</f>
        <v>720</v>
      </c>
      <c r="L40" s="7">
        <f>SUM(F40,H40,I40)</f>
        <v>1240</v>
      </c>
      <c r="M40" s="23">
        <f>SUM(J40,K40)</f>
        <v>909</v>
      </c>
      <c r="N40" s="1">
        <v>239</v>
      </c>
      <c r="O40" s="7">
        <v>4474</v>
      </c>
      <c r="P40" s="7" t="s">
        <v>30</v>
      </c>
      <c r="Q40" s="7" t="s">
        <v>40</v>
      </c>
      <c r="R40" s="5" t="s">
        <v>36</v>
      </c>
      <c r="S40" s="5" t="s">
        <v>37</v>
      </c>
      <c r="T40" s="5"/>
      <c r="U40" s="7"/>
      <c r="V40" s="7"/>
      <c r="W40" s="7"/>
      <c r="X40" s="7"/>
      <c r="Y40" s="7"/>
      <c r="Z40" s="8"/>
      <c r="AA40" s="8"/>
      <c r="AB40" s="8"/>
      <c r="AC40" s="8"/>
      <c r="AD40" s="8"/>
      <c r="AE40" s="7"/>
      <c r="AF40" s="7"/>
      <c r="AG40" s="7"/>
      <c r="AH40" s="7"/>
      <c r="AI40" s="7"/>
      <c r="AJ40" s="7"/>
      <c r="AM40" s="7"/>
      <c r="AN40" s="7"/>
      <c r="AO40" s="7"/>
      <c r="AP40" s="7"/>
      <c r="AQ40" s="7"/>
      <c r="AR40" s="7"/>
      <c r="AT40" s="7"/>
      <c r="AV40" s="7"/>
      <c r="AX40" s="7"/>
      <c r="AZ40" s="7"/>
      <c r="BE40" s="7"/>
      <c r="BJ40" s="7"/>
    </row>
    <row r="41" spans="1:62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6"/>
        <v>0</v>
      </c>
      <c r="F41" s="4"/>
      <c r="G41" s="4"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>SUM(J41,K41)</f>
        <v>0</v>
      </c>
      <c r="N41" s="1">
        <v>509</v>
      </c>
      <c r="O41" s="7">
        <v>5983</v>
      </c>
      <c r="P41" s="7" t="s">
        <v>30</v>
      </c>
      <c r="Q41" s="30"/>
      <c r="R41" s="5" t="s">
        <v>36</v>
      </c>
      <c r="S41" s="5"/>
      <c r="T41" s="5"/>
      <c r="U41" s="7"/>
      <c r="V41" s="7"/>
      <c r="W41" s="7"/>
      <c r="X41" s="7"/>
      <c r="Y41" s="7"/>
      <c r="Z41" s="8"/>
      <c r="AA41" s="8"/>
      <c r="AB41" s="8"/>
      <c r="AC41" s="8"/>
      <c r="AD41" s="8"/>
      <c r="AE41" s="7"/>
      <c r="AF41" s="7"/>
      <c r="AG41" s="7"/>
      <c r="AH41" s="7"/>
      <c r="AI41" s="7"/>
      <c r="AJ41" s="7"/>
      <c r="AM41" s="7"/>
      <c r="AN41" s="7"/>
      <c r="AO41" s="7"/>
      <c r="AP41" s="7"/>
      <c r="AQ41" s="7"/>
      <c r="AR41" s="7"/>
      <c r="AT41" s="7"/>
      <c r="AV41" s="7"/>
      <c r="AX41" s="7"/>
      <c r="AZ41" s="7"/>
      <c r="BE41" s="7"/>
      <c r="BJ41" s="7"/>
    </row>
    <row r="42" spans="1:62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>SUM(F42:I42)</f>
        <v>762</v>
      </c>
      <c r="F42" s="4"/>
      <c r="G42" s="4">
        <v>0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>SUM(J42,K42)</f>
        <v>141</v>
      </c>
      <c r="N42" s="1">
        <v>180</v>
      </c>
      <c r="O42" s="7">
        <v>4460</v>
      </c>
      <c r="P42" s="7" t="s">
        <v>30</v>
      </c>
      <c r="Q42" s="7" t="s">
        <v>39</v>
      </c>
      <c r="R42" s="5" t="s">
        <v>36</v>
      </c>
      <c r="S42" s="5"/>
      <c r="T42" s="5"/>
      <c r="U42" s="7"/>
      <c r="V42" s="7"/>
      <c r="W42" s="7"/>
      <c r="X42" s="7"/>
      <c r="Y42" s="7"/>
      <c r="Z42" s="8"/>
      <c r="AA42" s="8"/>
      <c r="AB42" s="8"/>
      <c r="AC42" s="8"/>
      <c r="AD42" s="8"/>
      <c r="AE42" s="7"/>
      <c r="AF42" s="7"/>
      <c r="AG42" s="7"/>
      <c r="AH42" s="7"/>
      <c r="AI42" s="7"/>
      <c r="AJ42" s="7"/>
      <c r="AM42" s="7"/>
      <c r="AN42" s="7"/>
      <c r="AO42" s="7"/>
      <c r="AP42" s="7"/>
      <c r="AQ42" s="7"/>
      <c r="AR42" s="7"/>
      <c r="AT42" s="7"/>
      <c r="AV42" s="7"/>
      <c r="AX42" s="7"/>
      <c r="AZ42" s="7"/>
      <c r="BE42" s="7"/>
      <c r="BJ42" s="7"/>
    </row>
    <row r="43" spans="1:62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>SUM(F43:I43)</f>
        <v>1073</v>
      </c>
      <c r="F43" s="4"/>
      <c r="G43" s="4">
        <v>0</v>
      </c>
      <c r="H43" s="1">
        <v>535</v>
      </c>
      <c r="I43" s="1">
        <v>538</v>
      </c>
      <c r="J43" s="1">
        <f>605-H43</f>
        <v>70</v>
      </c>
      <c r="K43" s="1">
        <f>920-I43</f>
        <v>382</v>
      </c>
      <c r="L43" s="7">
        <f>SUM(F43,H43,I43)</f>
        <v>1073</v>
      </c>
      <c r="M43" s="23">
        <f>SUM(J43,K43)</f>
        <v>452</v>
      </c>
      <c r="N43" s="1">
        <v>329</v>
      </c>
      <c r="O43" s="7">
        <v>3904</v>
      </c>
      <c r="P43" s="7" t="s">
        <v>30</v>
      </c>
      <c r="Q43" s="7" t="s">
        <v>41</v>
      </c>
      <c r="R43" s="5" t="s">
        <v>36</v>
      </c>
      <c r="S43" s="5"/>
      <c r="T43" s="5"/>
      <c r="U43" s="7"/>
      <c r="V43" s="7"/>
      <c r="W43" s="7"/>
      <c r="X43" s="7"/>
      <c r="Y43" s="7"/>
      <c r="Z43" s="8"/>
      <c r="AA43" s="8"/>
      <c r="AB43" s="8"/>
      <c r="AC43" s="8"/>
      <c r="AD43" s="8"/>
      <c r="AE43" s="7"/>
      <c r="AF43" s="7"/>
      <c r="AG43" s="7"/>
      <c r="AH43" s="7"/>
      <c r="AI43" s="7"/>
      <c r="AJ43" s="7"/>
      <c r="AM43" s="7"/>
      <c r="AN43" s="7"/>
      <c r="AO43" s="7"/>
      <c r="AP43" s="7"/>
      <c r="AQ43" s="7"/>
      <c r="AR43" s="7"/>
      <c r="AT43" s="7"/>
      <c r="AV43" s="7"/>
      <c r="AX43" s="7"/>
      <c r="AZ43" s="7"/>
      <c r="BE43" s="7"/>
      <c r="BJ43" s="7"/>
    </row>
    <row r="44" spans="1:62" ht="15" x14ac:dyDescent="0.25">
      <c r="A44" s="1">
        <v>2021</v>
      </c>
      <c r="B44" s="1">
        <v>320</v>
      </c>
      <c r="C44" s="1">
        <v>162</v>
      </c>
      <c r="D44" s="1">
        <v>482</v>
      </c>
      <c r="E44" s="11">
        <f>SUM(F44:I44)</f>
        <v>0</v>
      </c>
      <c r="F44" s="11"/>
      <c r="G44" s="1">
        <v>0</v>
      </c>
      <c r="H44" s="1">
        <v>0</v>
      </c>
      <c r="I44" s="1">
        <v>0</v>
      </c>
      <c r="J44" s="1">
        <f>0-H44</f>
        <v>0</v>
      </c>
      <c r="K44" s="1">
        <f>380-I44</f>
        <v>380</v>
      </c>
      <c r="L44" s="7">
        <f t="shared" ref="L44:L48" si="8">SUM(F44,H44,I44)</f>
        <v>0</v>
      </c>
      <c r="M44" s="23">
        <f>SUM(J44,K44)</f>
        <v>380</v>
      </c>
      <c r="N44" s="7"/>
      <c r="O44" s="29">
        <v>4192</v>
      </c>
      <c r="P44" s="5" t="s">
        <v>33</v>
      </c>
      <c r="Q44" s="5" t="s">
        <v>42</v>
      </c>
      <c r="R44" s="5" t="s">
        <v>36</v>
      </c>
      <c r="S44" s="5"/>
      <c r="T44" s="5"/>
      <c r="U44" s="7"/>
      <c r="V44" s="7"/>
      <c r="W44" s="7"/>
      <c r="X44" s="7"/>
      <c r="Y44" s="7"/>
      <c r="Z44" s="8"/>
      <c r="AA44" s="8"/>
      <c r="AB44" s="8"/>
      <c r="AC44" s="8"/>
      <c r="AD44" s="8"/>
      <c r="AE44" s="7"/>
      <c r="AF44" s="7"/>
      <c r="AG44" s="7"/>
      <c r="AH44" s="7"/>
      <c r="AI44" s="7"/>
      <c r="AJ44" s="7"/>
      <c r="AM44" s="7"/>
      <c r="AN44" s="7"/>
      <c r="AO44" s="7"/>
      <c r="AP44" s="7"/>
      <c r="AQ44" s="7"/>
      <c r="AR44" s="7"/>
      <c r="AT44" s="7"/>
      <c r="AV44" s="7"/>
      <c r="AX44" s="7"/>
      <c r="AZ44" s="7"/>
      <c r="BE44" s="7"/>
      <c r="BJ44" s="7"/>
    </row>
    <row r="45" spans="1:62" ht="15" x14ac:dyDescent="0.25">
      <c r="A45" s="1">
        <v>2022</v>
      </c>
      <c r="B45" s="1">
        <v>672</v>
      </c>
      <c r="C45" s="1">
        <v>231</v>
      </c>
      <c r="D45" s="1">
        <v>903</v>
      </c>
      <c r="E45" s="11">
        <f>SUM(F45:I45)</f>
        <v>0</v>
      </c>
      <c r="F45" s="11"/>
      <c r="G45" s="11">
        <v>0</v>
      </c>
      <c r="H45" s="1">
        <v>0</v>
      </c>
      <c r="I45" s="1">
        <v>0</v>
      </c>
      <c r="J45" s="1">
        <f>73-H45</f>
        <v>73</v>
      </c>
      <c r="K45" s="1">
        <f>274-I45</f>
        <v>274</v>
      </c>
      <c r="L45" s="7">
        <f t="shared" si="8"/>
        <v>0</v>
      </c>
      <c r="M45" s="23">
        <f>SUM(J45,K45)</f>
        <v>347</v>
      </c>
      <c r="N45" s="7"/>
      <c r="O45" s="29">
        <v>2959</v>
      </c>
      <c r="P45" s="5" t="s">
        <v>33</v>
      </c>
      <c r="Q45" s="5" t="s">
        <v>44</v>
      </c>
      <c r="R45" s="5" t="s">
        <v>36</v>
      </c>
      <c r="S45" s="5"/>
      <c r="T45" s="5"/>
      <c r="U45" s="7"/>
      <c r="V45" s="7"/>
      <c r="W45" s="7"/>
      <c r="X45" s="7"/>
      <c r="Y45" s="7"/>
      <c r="Z45" s="8"/>
      <c r="AA45" s="8"/>
      <c r="AB45" s="8"/>
      <c r="AC45" s="8"/>
      <c r="AD45" s="8"/>
      <c r="AE45" s="7"/>
      <c r="AF45" s="7"/>
      <c r="AG45" s="7"/>
      <c r="AH45" s="7"/>
      <c r="AI45" s="7"/>
      <c r="AJ45" s="7"/>
      <c r="AM45" s="7"/>
      <c r="AN45" s="7"/>
      <c r="AO45" s="7"/>
      <c r="AP45" s="7"/>
      <c r="AQ45" s="7"/>
      <c r="AR45" s="7"/>
      <c r="AT45" s="7"/>
      <c r="AV45" s="7"/>
      <c r="AX45" s="7"/>
      <c r="AZ45" s="7"/>
      <c r="BE45" s="7"/>
      <c r="BJ45" s="7"/>
    </row>
    <row r="46" spans="1:62" ht="15" x14ac:dyDescent="0.25">
      <c r="A46" s="1">
        <v>2023</v>
      </c>
      <c r="B46" s="1">
        <v>392</v>
      </c>
      <c r="C46" s="1">
        <v>254</v>
      </c>
      <c r="D46" s="1">
        <v>646</v>
      </c>
      <c r="E46" s="11">
        <f t="shared" ref="E46:E48" si="9">SUM(F46:I46)</f>
        <v>71</v>
      </c>
      <c r="F46" s="11"/>
      <c r="G46" s="11">
        <v>0</v>
      </c>
      <c r="H46" s="1">
        <v>71</v>
      </c>
      <c r="I46" s="1">
        <v>0</v>
      </c>
      <c r="J46" s="1">
        <f>277-H46</f>
        <v>206</v>
      </c>
      <c r="K46" s="1">
        <f>52-I46</f>
        <v>52</v>
      </c>
      <c r="L46" s="7">
        <f t="shared" si="8"/>
        <v>71</v>
      </c>
      <c r="M46" s="23">
        <f t="shared" si="4"/>
        <v>258</v>
      </c>
      <c r="N46" s="7"/>
      <c r="O46" s="29">
        <v>3369</v>
      </c>
      <c r="P46" s="5" t="s">
        <v>33</v>
      </c>
      <c r="Q46" s="5" t="s">
        <v>43</v>
      </c>
      <c r="R46" s="5" t="s">
        <v>36</v>
      </c>
      <c r="S46" s="5"/>
      <c r="T46" s="5"/>
      <c r="U46" s="7"/>
      <c r="V46" s="7"/>
      <c r="W46" s="7"/>
      <c r="X46" s="7"/>
      <c r="Y46" s="7"/>
      <c r="Z46" s="8"/>
      <c r="AA46" s="8"/>
      <c r="AB46" s="8"/>
      <c r="AC46" s="8"/>
      <c r="AD46" s="8"/>
      <c r="AE46" s="7"/>
      <c r="AF46" s="7"/>
      <c r="AG46" s="7"/>
      <c r="AH46" s="7"/>
      <c r="AI46" s="7"/>
      <c r="AJ46" s="7"/>
      <c r="AM46" s="7"/>
      <c r="AN46" s="7"/>
      <c r="AO46" s="7"/>
      <c r="AP46" s="7"/>
      <c r="AQ46" s="7"/>
      <c r="AR46" s="7"/>
      <c r="AT46" s="7"/>
      <c r="AV46" s="7"/>
      <c r="AX46" s="7"/>
      <c r="AZ46" s="7"/>
      <c r="BE46" s="7"/>
      <c r="BJ46" s="7"/>
    </row>
    <row r="47" spans="1:62" ht="15" x14ac:dyDescent="0.25">
      <c r="A47" s="1">
        <v>2024</v>
      </c>
      <c r="B47" s="1">
        <v>283</v>
      </c>
      <c r="C47" s="1">
        <v>199</v>
      </c>
      <c r="D47" s="1">
        <v>482</v>
      </c>
      <c r="E47" s="11">
        <f t="shared" si="9"/>
        <v>1</v>
      </c>
      <c r="F47" s="11"/>
      <c r="G47" s="11">
        <v>0</v>
      </c>
      <c r="H47" s="1">
        <v>1</v>
      </c>
      <c r="I47" s="1">
        <v>0</v>
      </c>
      <c r="J47" s="1">
        <f>17 - H47</f>
        <v>16</v>
      </c>
      <c r="K47" s="1">
        <f>2-I47</f>
        <v>2</v>
      </c>
      <c r="L47" s="7">
        <f t="shared" si="8"/>
        <v>1</v>
      </c>
      <c r="M47" s="23">
        <f t="shared" si="4"/>
        <v>18</v>
      </c>
      <c r="N47" s="7"/>
      <c r="O47" s="29">
        <v>1860</v>
      </c>
      <c r="P47" s="5" t="s">
        <v>33</v>
      </c>
      <c r="Q47" s="5" t="s">
        <v>45</v>
      </c>
      <c r="R47" s="5" t="s">
        <v>36</v>
      </c>
      <c r="S47" s="5"/>
      <c r="T47" s="5"/>
      <c r="U47" s="7"/>
      <c r="V47" s="7"/>
      <c r="W47" s="7"/>
      <c r="X47" s="7"/>
      <c r="Y47" s="7"/>
      <c r="Z47" s="8"/>
      <c r="AA47" s="8"/>
      <c r="AB47" s="8"/>
      <c r="AC47" s="8"/>
      <c r="AD47" s="8"/>
      <c r="AE47" s="7"/>
      <c r="AF47" s="7"/>
      <c r="AG47" s="7"/>
      <c r="AH47" s="7"/>
      <c r="AI47" s="7"/>
      <c r="AJ47" s="7"/>
      <c r="AM47" s="7"/>
      <c r="AN47" s="7"/>
      <c r="AO47" s="7"/>
      <c r="AP47" s="7"/>
      <c r="AQ47" s="7"/>
      <c r="AR47" s="7"/>
      <c r="AT47" s="7"/>
      <c r="AV47" s="7"/>
      <c r="AX47" s="7"/>
      <c r="AZ47" s="7"/>
      <c r="BE47" s="7"/>
      <c r="BJ47" s="7"/>
    </row>
    <row r="48" spans="1:62" ht="15" x14ac:dyDescent="0.25">
      <c r="A48" s="1">
        <v>2025</v>
      </c>
      <c r="B48" s="19"/>
      <c r="C48" s="19"/>
      <c r="D48" s="19"/>
      <c r="E48" s="11">
        <f t="shared" si="9"/>
        <v>19</v>
      </c>
      <c r="F48" s="4"/>
      <c r="G48" s="4">
        <v>0</v>
      </c>
      <c r="H48" s="1">
        <v>14</v>
      </c>
      <c r="I48" s="1">
        <v>5</v>
      </c>
      <c r="J48" s="1">
        <f>105-H48</f>
        <v>91</v>
      </c>
      <c r="K48" s="1">
        <f>26-I48</f>
        <v>21</v>
      </c>
      <c r="L48" s="7">
        <f t="shared" si="8"/>
        <v>19</v>
      </c>
      <c r="M48" s="23">
        <f>SUM(J48,K48)</f>
        <v>112</v>
      </c>
      <c r="N48" s="7"/>
      <c r="O48">
        <v>3270</v>
      </c>
      <c r="P48" s="5" t="s">
        <v>33</v>
      </c>
      <c r="Q48" s="5" t="s">
        <v>46</v>
      </c>
      <c r="R48" s="5" t="s">
        <v>36</v>
      </c>
      <c r="S48" s="5"/>
      <c r="T48" s="5"/>
      <c r="U48" s="5"/>
      <c r="V48" s="5"/>
      <c r="W48" s="5"/>
      <c r="X48" s="5"/>
      <c r="Y48" s="5"/>
      <c r="Z48" s="8"/>
      <c r="AA48" s="8"/>
      <c r="AB48" s="8"/>
      <c r="AC48" s="8"/>
      <c r="AD48" s="8"/>
      <c r="AM48" s="7"/>
      <c r="AN48" s="7"/>
      <c r="AO48" s="7"/>
      <c r="AP48" s="7"/>
      <c r="AQ48" s="7"/>
      <c r="AR48" s="7"/>
      <c r="AT48" s="7"/>
      <c r="AV48" s="7"/>
      <c r="AX48" s="7"/>
      <c r="AZ48" s="7"/>
      <c r="BE48" s="7"/>
      <c r="BJ48" s="7"/>
    </row>
    <row r="49" spans="1:62" x14ac:dyDescent="0.2">
      <c r="A49" s="1" t="s">
        <v>28</v>
      </c>
      <c r="D49" s="27" t="s">
        <v>14</v>
      </c>
      <c r="E49" s="15" t="s">
        <v>13</v>
      </c>
      <c r="F49" s="4"/>
      <c r="G49" s="4"/>
      <c r="N49" s="13" t="s">
        <v>20</v>
      </c>
      <c r="R49" s="5"/>
      <c r="AM49" s="7"/>
      <c r="AN49" s="7"/>
      <c r="AO49" s="7"/>
      <c r="AP49" s="7"/>
      <c r="AQ49" s="7"/>
      <c r="AR49" s="7"/>
      <c r="AT49" s="7"/>
      <c r="AV49" s="7"/>
      <c r="AX49" s="7"/>
      <c r="AZ49" s="7"/>
      <c r="BE49" s="7"/>
      <c r="BJ49" s="7"/>
    </row>
    <row r="50" spans="1:62" x14ac:dyDescent="0.2">
      <c r="E50" s="16" t="s">
        <v>18</v>
      </c>
      <c r="F50" s="4"/>
      <c r="G50" s="4"/>
      <c r="R50" s="5"/>
      <c r="AM50" s="7"/>
      <c r="AN50" s="7"/>
      <c r="AO50" s="7"/>
      <c r="AP50" s="7"/>
      <c r="AQ50" s="7"/>
      <c r="AR50" s="7"/>
      <c r="AT50" s="7"/>
      <c r="AV50" s="7"/>
      <c r="AX50" s="7"/>
      <c r="AZ50" s="7"/>
      <c r="BE50" s="7"/>
      <c r="BJ50" s="7"/>
    </row>
    <row r="51" spans="1:62" x14ac:dyDescent="0.2">
      <c r="B51" s="27"/>
      <c r="C51" s="27"/>
      <c r="D51" s="27"/>
      <c r="E51" s="10" t="s">
        <v>15</v>
      </c>
      <c r="AM51" s="7"/>
      <c r="AN51" s="7"/>
      <c r="AO51" s="7"/>
      <c r="AP51" s="7"/>
      <c r="AQ51" s="7"/>
      <c r="AR51" s="7"/>
      <c r="AT51" s="7"/>
      <c r="AV51" s="7"/>
      <c r="AX51" s="7"/>
      <c r="AZ51" s="7"/>
      <c r="BE51" s="7"/>
      <c r="BJ51" s="7"/>
    </row>
    <row r="52" spans="1:62" x14ac:dyDescent="0.2">
      <c r="E52" s="1" t="s">
        <v>16</v>
      </c>
      <c r="AM52" s="7"/>
      <c r="AN52" s="7"/>
      <c r="AO52" s="7"/>
      <c r="AP52" s="7"/>
      <c r="AQ52" s="7"/>
      <c r="AR52" s="7"/>
      <c r="AT52" s="7"/>
      <c r="AV52" s="7"/>
      <c r="AX52" s="7"/>
      <c r="AZ52" s="7"/>
      <c r="BE52" s="7"/>
      <c r="BJ52" s="7"/>
    </row>
    <row r="53" spans="1:62" x14ac:dyDescent="0.2">
      <c r="E53" s="1" t="s">
        <v>17</v>
      </c>
      <c r="BE53" s="7"/>
      <c r="BJ53" s="7"/>
    </row>
    <row r="54" spans="1:62" x14ac:dyDescent="0.2">
      <c r="E54" s="1" t="s">
        <v>19</v>
      </c>
      <c r="BE54" s="7"/>
      <c r="BJ54" s="7"/>
    </row>
    <row r="55" spans="1:62" x14ac:dyDescent="0.2">
      <c r="E55" s="1" t="s">
        <v>21</v>
      </c>
      <c r="BE55" s="7"/>
      <c r="BJ55" s="7"/>
    </row>
    <row r="56" spans="1:62" x14ac:dyDescent="0.2">
      <c r="E56" s="1" t="s">
        <v>22</v>
      </c>
      <c r="BE56" s="7"/>
      <c r="BJ56" s="7"/>
    </row>
    <row r="57" spans="1:62" x14ac:dyDescent="0.2">
      <c r="E57" s="1" t="s">
        <v>23</v>
      </c>
      <c r="BE57" s="7"/>
      <c r="BJ57" s="7"/>
    </row>
    <row r="58" spans="1:62" x14ac:dyDescent="0.2">
      <c r="E58" s="17" t="s">
        <v>24</v>
      </c>
      <c r="BE58" s="7"/>
      <c r="BJ58" s="7"/>
    </row>
    <row r="59" spans="1:62" x14ac:dyDescent="0.2">
      <c r="E59" s="22" t="s">
        <v>27</v>
      </c>
      <c r="BE59" s="7"/>
      <c r="BJ59" s="7"/>
    </row>
    <row r="60" spans="1:62" x14ac:dyDescent="0.2">
      <c r="E60" s="1" t="s">
        <v>31</v>
      </c>
      <c r="BE60" s="7"/>
      <c r="BJ60" s="7"/>
    </row>
    <row r="61" spans="1:62" x14ac:dyDescent="0.2">
      <c r="E61" s="1" t="s">
        <v>32</v>
      </c>
      <c r="BE61" s="7"/>
      <c r="BJ61" s="7"/>
    </row>
    <row r="62" spans="1:62" x14ac:dyDescent="0.2">
      <c r="BE62" s="7"/>
      <c r="BJ62" s="7"/>
    </row>
    <row r="63" spans="1:62" x14ac:dyDescent="0.2">
      <c r="BE63" s="7"/>
      <c r="BJ63" s="7"/>
    </row>
    <row r="64" spans="1:62" x14ac:dyDescent="0.2">
      <c r="BE64" s="7"/>
      <c r="BJ64" s="7"/>
    </row>
    <row r="65" spans="2:62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18"/>
      <c r="N65" s="2"/>
      <c r="O65" s="2"/>
      <c r="P65" s="2"/>
      <c r="Q65" s="2"/>
      <c r="T65" s="3"/>
      <c r="U65" s="3"/>
      <c r="V65" s="3"/>
      <c r="X65" s="3"/>
      <c r="AJ65" s="3"/>
    </row>
    <row r="66" spans="2:62" x14ac:dyDescent="0.2">
      <c r="BE66" s="7"/>
      <c r="BJ66" s="7"/>
    </row>
    <row r="67" spans="2:62" x14ac:dyDescent="0.2">
      <c r="BE67" s="7"/>
      <c r="BJ67" s="7"/>
    </row>
    <row r="68" spans="2:62" x14ac:dyDescent="0.2">
      <c r="BE68" s="7"/>
      <c r="BJ68" s="7"/>
    </row>
    <row r="69" spans="2:62" x14ac:dyDescent="0.2">
      <c r="BE69" s="7"/>
      <c r="BJ69" s="7"/>
    </row>
    <row r="70" spans="2:62" x14ac:dyDescent="0.2">
      <c r="BE70" s="7"/>
      <c r="BJ70" s="7"/>
    </row>
    <row r="71" spans="2:62" x14ac:dyDescent="0.2">
      <c r="BE71" s="7"/>
      <c r="BJ71" s="7"/>
    </row>
    <row r="72" spans="2:62" x14ac:dyDescent="0.2">
      <c r="BE72" s="7"/>
      <c r="BJ72" s="7"/>
    </row>
    <row r="73" spans="2:62" x14ac:dyDescent="0.2">
      <c r="BE73" s="7"/>
      <c r="BJ73" s="7"/>
    </row>
    <row r="74" spans="2:62" x14ac:dyDescent="0.2">
      <c r="BE74" s="7"/>
      <c r="BJ74" s="7"/>
    </row>
    <row r="75" spans="2:62" x14ac:dyDescent="0.2">
      <c r="BE75" s="7"/>
      <c r="BJ75" s="7"/>
    </row>
    <row r="76" spans="2:62" x14ac:dyDescent="0.2">
      <c r="BE76" s="7"/>
      <c r="BJ76" s="7"/>
    </row>
    <row r="77" spans="2:62" x14ac:dyDescent="0.2">
      <c r="BE77" s="7"/>
      <c r="BJ77" s="7"/>
    </row>
    <row r="78" spans="2:62" x14ac:dyDescent="0.2">
      <c r="BE78" s="7"/>
      <c r="BJ78" s="7"/>
    </row>
    <row r="79" spans="2:62" x14ac:dyDescent="0.2">
      <c r="BE79" s="7"/>
      <c r="BJ79" s="7"/>
    </row>
    <row r="80" spans="2:62" x14ac:dyDescent="0.2">
      <c r="BE80" s="7"/>
      <c r="BJ80" s="7"/>
    </row>
    <row r="81" spans="57:62" x14ac:dyDescent="0.2">
      <c r="BE81" s="7"/>
      <c r="BJ81" s="7"/>
    </row>
    <row r="82" spans="57:62" x14ac:dyDescent="0.2">
      <c r="BE82" s="7"/>
      <c r="BJ82" s="7"/>
    </row>
    <row r="83" spans="57:62" x14ac:dyDescent="0.2">
      <c r="BE83" s="7"/>
      <c r="BJ83" s="7"/>
    </row>
    <row r="84" spans="57:62" x14ac:dyDescent="0.2">
      <c r="BE84" s="7"/>
      <c r="BJ84" s="7"/>
    </row>
    <row r="85" spans="57:62" x14ac:dyDescent="0.2">
      <c r="BE85" s="7"/>
      <c r="BJ85" s="7"/>
    </row>
    <row r="86" spans="57:62" x14ac:dyDescent="0.2">
      <c r="BE86" s="7"/>
      <c r="BJ86" s="7"/>
    </row>
    <row r="87" spans="57:62" x14ac:dyDescent="0.2">
      <c r="BE87" s="7"/>
      <c r="BJ87" s="7"/>
    </row>
    <row r="88" spans="57:62" x14ac:dyDescent="0.2">
      <c r="BE88" s="7"/>
      <c r="BJ88" s="7"/>
    </row>
    <row r="89" spans="57:62" x14ac:dyDescent="0.2">
      <c r="BE89" s="7"/>
      <c r="BJ89" s="7"/>
    </row>
    <row r="90" spans="57:62" x14ac:dyDescent="0.2">
      <c r="BE90" s="7"/>
      <c r="BJ90" s="7"/>
    </row>
    <row r="91" spans="57:62" x14ac:dyDescent="0.2">
      <c r="BE91" s="7"/>
      <c r="BJ91" s="7"/>
    </row>
    <row r="92" spans="57:62" x14ac:dyDescent="0.2">
      <c r="BE92" s="7"/>
      <c r="BJ92" s="7"/>
    </row>
    <row r="93" spans="57:62" x14ac:dyDescent="0.2">
      <c r="BE93" s="7"/>
      <c r="BJ93" s="7"/>
    </row>
    <row r="94" spans="57:62" x14ac:dyDescent="0.2">
      <c r="BE94" s="7"/>
      <c r="BJ94" s="7"/>
    </row>
    <row r="95" spans="57:62" x14ac:dyDescent="0.2">
      <c r="BE95" s="7"/>
      <c r="BJ95" s="7"/>
    </row>
    <row r="96" spans="57:62" x14ac:dyDescent="0.2">
      <c r="BE96" s="7"/>
      <c r="BJ96" s="7"/>
    </row>
    <row r="97" spans="57:62" x14ac:dyDescent="0.2">
      <c r="BE97" s="7"/>
      <c r="BJ97" s="7"/>
    </row>
    <row r="98" spans="57:62" x14ac:dyDescent="0.2">
      <c r="BE98" s="7"/>
      <c r="BJ98" s="7"/>
    </row>
    <row r="99" spans="57:62" x14ac:dyDescent="0.2">
      <c r="BE99" s="7"/>
      <c r="BJ99" s="7"/>
    </row>
    <row r="100" spans="57:62" x14ac:dyDescent="0.2">
      <c r="BE100" s="7"/>
      <c r="BJ100" s="7"/>
    </row>
    <row r="101" spans="57:62" x14ac:dyDescent="0.2">
      <c r="BE101" s="7"/>
      <c r="BJ101" s="7"/>
    </row>
    <row r="102" spans="57:62" x14ac:dyDescent="0.2">
      <c r="BE102" s="7"/>
      <c r="BJ102" s="7"/>
    </row>
    <row r="103" spans="57:62" x14ac:dyDescent="0.2">
      <c r="BE103" s="7"/>
      <c r="BJ103" s="7"/>
    </row>
    <row r="104" spans="57:62" x14ac:dyDescent="0.2">
      <c r="BE104" s="7"/>
      <c r="BJ104" s="7"/>
    </row>
    <row r="105" spans="57:62" x14ac:dyDescent="0.2">
      <c r="BE105" s="7"/>
      <c r="BJ105" s="7"/>
    </row>
    <row r="106" spans="57:62" x14ac:dyDescent="0.2">
      <c r="BE106" s="7"/>
      <c r="BJ106" s="7"/>
    </row>
    <row r="107" spans="57:62" x14ac:dyDescent="0.2">
      <c r="BE107" s="7"/>
      <c r="BJ107" s="7"/>
    </row>
    <row r="108" spans="57:62" x14ac:dyDescent="0.2">
      <c r="BE108" s="7"/>
      <c r="BJ108" s="7"/>
    </row>
    <row r="109" spans="57:62" x14ac:dyDescent="0.2">
      <c r="BE109" s="7"/>
      <c r="BJ109" s="7"/>
    </row>
    <row r="110" spans="57:62" x14ac:dyDescent="0.2">
      <c r="BE110" s="7"/>
      <c r="BJ110" s="7"/>
    </row>
    <row r="111" spans="57:62" x14ac:dyDescent="0.2">
      <c r="BE111" s="7"/>
      <c r="BJ111" s="7"/>
    </row>
    <row r="112" spans="57:62" x14ac:dyDescent="0.2">
      <c r="BE112" s="7"/>
      <c r="BJ112" s="7"/>
    </row>
    <row r="113" spans="57:62" x14ac:dyDescent="0.2">
      <c r="BE113" s="7"/>
      <c r="BJ113" s="7"/>
    </row>
    <row r="114" spans="57:62" x14ac:dyDescent="0.2">
      <c r="BE114" s="7"/>
      <c r="BJ114" s="7"/>
    </row>
    <row r="115" spans="57:62" x14ac:dyDescent="0.2">
      <c r="BE115" s="7"/>
      <c r="BJ115" s="7"/>
    </row>
    <row r="116" spans="57:62" x14ac:dyDescent="0.2">
      <c r="BE116" s="7"/>
      <c r="BJ116" s="7"/>
    </row>
    <row r="117" spans="57:62" x14ac:dyDescent="0.2">
      <c r="BE117" s="7"/>
      <c r="BJ117" s="7"/>
    </row>
    <row r="118" spans="57:62" x14ac:dyDescent="0.2">
      <c r="BE118" s="7"/>
      <c r="BJ118" s="7"/>
    </row>
    <row r="119" spans="57:62" x14ac:dyDescent="0.2">
      <c r="BE119" s="7"/>
      <c r="BJ119" s="7"/>
    </row>
    <row r="120" spans="57:62" x14ac:dyDescent="0.2">
      <c r="BE120" s="7"/>
      <c r="BJ120" s="7"/>
    </row>
    <row r="121" spans="57:62" x14ac:dyDescent="0.2">
      <c r="BE121" s="7"/>
      <c r="BJ121" s="7"/>
    </row>
    <row r="122" spans="57:62" x14ac:dyDescent="0.2">
      <c r="BE122" s="7"/>
      <c r="BJ122" s="7"/>
    </row>
    <row r="123" spans="57:62" x14ac:dyDescent="0.2">
      <c r="BE123" s="7"/>
      <c r="BJ123" s="7"/>
    </row>
    <row r="124" spans="57:62" x14ac:dyDescent="0.2">
      <c r="BE124" s="7"/>
      <c r="BJ124" s="7"/>
    </row>
    <row r="125" spans="57:62" x14ac:dyDescent="0.2">
      <c r="BE125" s="7"/>
      <c r="BJ125" s="7"/>
    </row>
    <row r="126" spans="57:62" x14ac:dyDescent="0.2">
      <c r="BE126" s="7"/>
      <c r="BJ126" s="7"/>
    </row>
    <row r="127" spans="57:62" x14ac:dyDescent="0.2">
      <c r="BE127" s="7"/>
      <c r="BJ127" s="7"/>
    </row>
    <row r="128" spans="57:62" x14ac:dyDescent="0.2">
      <c r="BE128" s="7"/>
      <c r="BJ128" s="7"/>
    </row>
    <row r="129" spans="57:62" x14ac:dyDescent="0.2">
      <c r="BE129" s="7"/>
      <c r="BJ129" s="7"/>
    </row>
    <row r="130" spans="57:62" x14ac:dyDescent="0.2">
      <c r="BE130" s="7"/>
      <c r="BJ130" s="7"/>
    </row>
    <row r="131" spans="57:62" x14ac:dyDescent="0.2">
      <c r="BE131" s="7"/>
      <c r="BJ131" s="7"/>
    </row>
    <row r="132" spans="57:62" x14ac:dyDescent="0.2">
      <c r="BE132" s="7"/>
      <c r="BJ132" s="7"/>
    </row>
    <row r="133" spans="57:62" x14ac:dyDescent="0.2">
      <c r="BE133" s="7"/>
      <c r="BJ133" s="7"/>
    </row>
    <row r="134" spans="57:62" x14ac:dyDescent="0.2">
      <c r="BE134" s="7"/>
      <c r="BJ134" s="7"/>
    </row>
    <row r="135" spans="57:62" x14ac:dyDescent="0.2">
      <c r="BE135" s="7"/>
      <c r="BJ135" s="7"/>
    </row>
    <row r="136" spans="57:62" x14ac:dyDescent="0.2">
      <c r="BE136" s="7"/>
      <c r="BJ136" s="7"/>
    </row>
    <row r="137" spans="57:62" x14ac:dyDescent="0.2">
      <c r="BE137" s="7"/>
      <c r="BJ137" s="7"/>
    </row>
    <row r="138" spans="57:62" x14ac:dyDescent="0.2">
      <c r="BE138" s="7"/>
      <c r="BJ138" s="7"/>
    </row>
    <row r="139" spans="57:62" x14ac:dyDescent="0.2">
      <c r="BE139" s="7"/>
      <c r="BJ139" s="7"/>
    </row>
    <row r="140" spans="57:62" x14ac:dyDescent="0.2">
      <c r="BE140" s="7"/>
      <c r="BJ140" s="7"/>
    </row>
    <row r="141" spans="57:62" x14ac:dyDescent="0.2">
      <c r="BE141" s="7"/>
      <c r="BJ141" s="7"/>
    </row>
    <row r="142" spans="57:62" x14ac:dyDescent="0.2">
      <c r="BE142" s="7"/>
      <c r="BJ142" s="7"/>
    </row>
    <row r="143" spans="57:62" x14ac:dyDescent="0.2">
      <c r="BE143" s="7"/>
      <c r="BJ143" s="7"/>
    </row>
    <row r="144" spans="57:62" x14ac:dyDescent="0.2">
      <c r="BE144" s="7"/>
      <c r="BJ144" s="7"/>
    </row>
    <row r="145" spans="57:62" x14ac:dyDescent="0.2">
      <c r="BE145" s="7"/>
      <c r="BJ145" s="7"/>
    </row>
    <row r="146" spans="57:62" x14ac:dyDescent="0.2">
      <c r="BE146" s="7"/>
      <c r="BJ146" s="7"/>
    </row>
    <row r="147" spans="57:62" x14ac:dyDescent="0.2">
      <c r="BE147" s="7"/>
      <c r="BJ147" s="7"/>
    </row>
    <row r="148" spans="57:62" x14ac:dyDescent="0.2">
      <c r="BE148" s="7"/>
      <c r="BJ148" s="7"/>
    </row>
    <row r="149" spans="57:62" x14ac:dyDescent="0.2">
      <c r="BE149" s="7"/>
      <c r="BJ149" s="7"/>
    </row>
    <row r="150" spans="57:62" x14ac:dyDescent="0.2">
      <c r="BE150" s="7"/>
      <c r="BJ150" s="7"/>
    </row>
    <row r="151" spans="57:62" x14ac:dyDescent="0.2">
      <c r="BE151" s="7"/>
      <c r="BJ151" s="7"/>
    </row>
    <row r="152" spans="57:62" x14ac:dyDescent="0.2">
      <c r="BE152" s="7"/>
      <c r="BJ152" s="7"/>
    </row>
    <row r="153" spans="57:62" x14ac:dyDescent="0.2">
      <c r="BE153" s="7"/>
      <c r="BJ153" s="7"/>
    </row>
    <row r="154" spans="57:62" x14ac:dyDescent="0.2">
      <c r="BE154" s="7"/>
      <c r="BJ154" s="7"/>
    </row>
    <row r="155" spans="57:62" x14ac:dyDescent="0.2">
      <c r="BE155" s="7"/>
      <c r="BJ155" s="7"/>
    </row>
    <row r="156" spans="57:62" x14ac:dyDescent="0.2">
      <c r="BE156" s="7"/>
      <c r="BJ156" s="7"/>
    </row>
    <row r="157" spans="57:62" x14ac:dyDescent="0.2">
      <c r="BE157" s="7"/>
      <c r="BJ157" s="7"/>
    </row>
    <row r="158" spans="57:62" x14ac:dyDescent="0.2">
      <c r="BE158" s="7"/>
      <c r="BJ158" s="7"/>
    </row>
    <row r="159" spans="57:62" x14ac:dyDescent="0.2">
      <c r="BE159" s="7"/>
      <c r="BJ159" s="7"/>
    </row>
    <row r="160" spans="57:62" x14ac:dyDescent="0.2">
      <c r="BE160" s="7"/>
      <c r="BJ160" s="7"/>
    </row>
    <row r="161" spans="57:62" x14ac:dyDescent="0.2">
      <c r="BE161" s="7"/>
      <c r="BJ161" s="7"/>
    </row>
    <row r="162" spans="57:62" x14ac:dyDescent="0.2">
      <c r="BE162" s="7"/>
      <c r="BJ162" s="7"/>
    </row>
    <row r="163" spans="57:62" x14ac:dyDescent="0.2">
      <c r="BE163" s="7"/>
      <c r="BJ163" s="7"/>
    </row>
    <row r="164" spans="57:62" x14ac:dyDescent="0.2">
      <c r="BE164" s="7"/>
      <c r="BJ164" s="7"/>
    </row>
    <row r="165" spans="57:62" x14ac:dyDescent="0.2">
      <c r="BE165" s="7"/>
      <c r="BJ165" s="7"/>
    </row>
    <row r="166" spans="57:62" x14ac:dyDescent="0.2">
      <c r="BE166" s="7"/>
      <c r="BJ166" s="7"/>
    </row>
    <row r="167" spans="57:62" x14ac:dyDescent="0.2">
      <c r="BE167" s="7"/>
      <c r="BJ167" s="7"/>
    </row>
    <row r="168" spans="57:62" x14ac:dyDescent="0.2">
      <c r="BE168" s="7"/>
      <c r="BJ168" s="7"/>
    </row>
    <row r="169" spans="57:62" x14ac:dyDescent="0.2">
      <c r="BE169" s="7"/>
      <c r="BJ169" s="7"/>
    </row>
    <row r="170" spans="57:62" x14ac:dyDescent="0.2">
      <c r="BE170" s="7"/>
    </row>
    <row r="171" spans="57:62" x14ac:dyDescent="0.2">
      <c r="BE171" s="7"/>
    </row>
    <row r="172" spans="57:62" x14ac:dyDescent="0.2">
      <c r="BE172" s="7"/>
    </row>
    <row r="173" spans="57:62" x14ac:dyDescent="0.2">
      <c r="BE173" s="7"/>
    </row>
    <row r="174" spans="57:62" x14ac:dyDescent="0.2">
      <c r="BE174" s="7"/>
    </row>
    <row r="175" spans="57:62" x14ac:dyDescent="0.2">
      <c r="BE175" s="7"/>
    </row>
    <row r="176" spans="57:62" x14ac:dyDescent="0.2">
      <c r="BE176" s="7"/>
    </row>
    <row r="177" spans="57:57" x14ac:dyDescent="0.2">
      <c r="BE177" s="7"/>
    </row>
    <row r="178" spans="57:57" x14ac:dyDescent="0.2">
      <c r="BE178" s="7"/>
    </row>
    <row r="179" spans="57:57" x14ac:dyDescent="0.2">
      <c r="BE179" s="7"/>
    </row>
    <row r="180" spans="57:57" x14ac:dyDescent="0.2">
      <c r="BE180" s="7"/>
    </row>
    <row r="181" spans="57:57" x14ac:dyDescent="0.2">
      <c r="BE181" s="7"/>
    </row>
    <row r="182" spans="57:57" x14ac:dyDescent="0.2">
      <c r="BE182" s="7"/>
    </row>
    <row r="183" spans="57:57" x14ac:dyDescent="0.2">
      <c r="BE183" s="7"/>
    </row>
    <row r="184" spans="57:57" x14ac:dyDescent="0.2">
      <c r="BE184" s="7"/>
    </row>
    <row r="185" spans="57:57" x14ac:dyDescent="0.2">
      <c r="BE185" s="7"/>
    </row>
    <row r="186" spans="57:57" x14ac:dyDescent="0.2">
      <c r="BE186" s="7"/>
    </row>
    <row r="187" spans="57:57" x14ac:dyDescent="0.2">
      <c r="BE187" s="7"/>
    </row>
    <row r="188" spans="57:57" x14ac:dyDescent="0.2">
      <c r="BE188" s="7"/>
    </row>
    <row r="189" spans="57:57" x14ac:dyDescent="0.2">
      <c r="BE189" s="7"/>
    </row>
    <row r="190" spans="57:57" x14ac:dyDescent="0.2">
      <c r="BE190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2026-06-10T19:33:37Z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